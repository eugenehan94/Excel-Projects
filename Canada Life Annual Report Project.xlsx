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GMU058\Downloads\"/>
    </mc:Choice>
  </mc:AlternateContent>
  <xr:revisionPtr revIDLastSave="0" documentId="13_ncr:1_{3AB2540C-51E6-44C3-8B2B-0BDB7D047591}" xr6:coauthVersionLast="47" xr6:coauthVersionMax="47" xr10:uidLastSave="{00000000-0000-0000-0000-000000000000}"/>
  <bookViews>
    <workbookView xWindow="-110" yWindow="-110" windowWidth="19420" windowHeight="11500" firstSheet="2" activeTab="4" xr2:uid="{3CB541B1-AEC2-4997-AFCF-80587D906177}"/>
  </bookViews>
  <sheets>
    <sheet name="CL 2025 (Original)" sheetId="1" r:id="rId1"/>
    <sheet name="CL 2024 (Original)" sheetId="2" r:id="rId2"/>
    <sheet name="CL 2023 (Original)" sheetId="13" r:id="rId3"/>
    <sheet name="CL 2022 (Original)" sheetId="15" r:id="rId4"/>
    <sheet name="CL Consolidated Summary" sheetId="16" r:id="rId5"/>
  </sheets>
  <definedNames>
    <definedName name="ExternalData_2" localSheetId="0" hidden="1">'CL 2025 (Original)'!$A$24:$C$54</definedName>
    <definedName name="ExternalData_3" localSheetId="0" hidden="1">'CL 2025 (Original)'!$A$58:$C$106</definedName>
    <definedName name="ExternalData_4" localSheetId="0" hidden="1">'CL 2025 (Original)'!$A$109:$I$117</definedName>
    <definedName name="ExternalData_5" localSheetId="0" hidden="1">'CL 2025 (Original)'!$A$121:$C$149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28" i="16" l="1"/>
  <c r="D28" i="16"/>
  <c r="E28" i="16"/>
  <c r="B28" i="16"/>
  <c r="C27" i="16"/>
  <c r="D27" i="16"/>
  <c r="E27" i="16"/>
  <c r="B27" i="16"/>
  <c r="C26" i="16"/>
  <c r="D26" i="16"/>
  <c r="E26" i="16"/>
  <c r="B26" i="16"/>
  <c r="E25" i="16"/>
  <c r="D25" i="16"/>
  <c r="C25" i="16"/>
  <c r="B25" i="16"/>
  <c r="E24" i="16"/>
  <c r="D24" i="16"/>
  <c r="C24" i="16"/>
  <c r="B24" i="16"/>
  <c r="B11" i="16" a="1"/>
  <c r="B11" i="16" s="1"/>
  <c r="B23" i="16"/>
  <c r="D23" i="16"/>
  <c r="E23" i="16"/>
  <c r="C23" i="16"/>
  <c r="B22" i="16"/>
  <c r="C22" i="16"/>
  <c r="D22" i="16"/>
  <c r="E22" i="16"/>
  <c r="E18" i="16" a="1"/>
  <c r="E18" i="16" s="1"/>
  <c r="D18" i="16" a="1"/>
  <c r="D18" i="16" s="1"/>
  <c r="C18" i="16" a="1"/>
  <c r="C18" i="16" s="1"/>
  <c r="B18" i="16" a="1"/>
  <c r="B18" i="16" s="1"/>
  <c r="C21" i="13"/>
  <c r="E17" i="16" a="1"/>
  <c r="E17" i="16" s="1"/>
  <c r="D17" i="16" a="1"/>
  <c r="D17" i="16" s="1"/>
  <c r="C17" i="16" a="1"/>
  <c r="C17" i="16" s="1"/>
  <c r="B17" i="16" a="1"/>
  <c r="B17" i="16" s="1"/>
  <c r="E16" i="16" a="1"/>
  <c r="E16" i="16" s="1"/>
  <c r="D16" i="16" a="1"/>
  <c r="D16" i="16" s="1"/>
  <c r="C16" i="16" a="1"/>
  <c r="C16" i="16" s="1"/>
  <c r="B16" i="16" a="1"/>
  <c r="B16" i="16" s="1"/>
  <c r="E15" i="16" a="1"/>
  <c r="E15" i="16" s="1"/>
  <c r="D15" i="16" a="1"/>
  <c r="D15" i="16" s="1"/>
  <c r="C15" i="16" a="1"/>
  <c r="C15" i="16" s="1"/>
  <c r="B15" i="16" a="1"/>
  <c r="B15" i="16" s="1"/>
  <c r="E14" i="16"/>
  <c r="D14" i="16"/>
  <c r="C14" i="16"/>
  <c r="B14" i="16"/>
  <c r="E13" i="16" a="1"/>
  <c r="E13" i="16" s="1"/>
  <c r="D13" i="16" a="1"/>
  <c r="D13" i="16" s="1"/>
  <c r="C13" i="16" a="1"/>
  <c r="C13" i="16" s="1"/>
  <c r="B13" i="16" a="1"/>
  <c r="B13" i="16" s="1"/>
  <c r="E12" i="16" a="1"/>
  <c r="E12" i="16" s="1"/>
  <c r="D12" i="16" a="1"/>
  <c r="D12" i="16" s="1"/>
  <c r="C12" i="16" a="1"/>
  <c r="C12" i="16" s="1"/>
  <c r="B12" i="16" a="1"/>
  <c r="B12" i="16" s="1"/>
  <c r="E11" i="16" a="1"/>
  <c r="E11" i="16" s="1"/>
  <c r="D11" i="16" a="1"/>
  <c r="D11" i="16" s="1"/>
  <c r="C11" i="16" a="1"/>
  <c r="C11" i="16" s="1"/>
  <c r="E10" i="16" a="1"/>
  <c r="E10" i="16" s="1"/>
  <c r="D10" i="16" a="1"/>
  <c r="D10" i="16" s="1"/>
  <c r="C10" i="16" a="1"/>
  <c r="C10" i="16" s="1"/>
  <c r="B10" i="16" a="1"/>
  <c r="B10" i="16" s="1"/>
  <c r="E9" i="16" a="1"/>
  <c r="E9" i="16" s="1"/>
  <c r="D9" i="16" a="1"/>
  <c r="D9" i="16" s="1"/>
  <c r="C9" i="16" a="1"/>
  <c r="C9" i="16" s="1"/>
  <c r="B9" i="16" a="1"/>
  <c r="B9" i="16" s="1"/>
  <c r="E8" i="16" a="1"/>
  <c r="E8" i="16" s="1"/>
  <c r="D8" i="16" a="1"/>
  <c r="D8" i="16" s="1"/>
  <c r="C8" i="16" a="1"/>
  <c r="C8" i="16" s="1"/>
  <c r="B8" i="16" a="1"/>
  <c r="B8" i="16" s="1"/>
  <c r="E7" i="16" a="1"/>
  <c r="E7" i="16" s="1"/>
  <c r="D7" i="16" a="1"/>
  <c r="D7" i="16" s="1"/>
  <c r="C7" i="16" a="1"/>
  <c r="C7" i="16" s="1"/>
  <c r="B7" i="16" a="1"/>
  <c r="B7" i="16" s="1"/>
  <c r="B6" i="16"/>
  <c r="C6" i="16"/>
  <c r="D6" i="16"/>
  <c r="E6" i="16"/>
  <c r="B5" i="16" a="1"/>
  <c r="B5" i="16" s="1"/>
  <c r="D5" i="16"/>
  <c r="C5" i="16" a="1"/>
  <c r="C5" i="16" s="1"/>
  <c r="E4" i="16"/>
  <c r="E5" i="16"/>
  <c r="B4" i="16" a="1"/>
  <c r="B4" i="16" s="1"/>
  <c r="C4" i="16" a="1"/>
  <c r="C4" i="16" s="1"/>
  <c r="D4" i="16" a="1"/>
  <c r="D4"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Han, Eugene</author>
  </authors>
  <commentList>
    <comment ref="A4" authorId="0" shapeId="0" xr:uid="{2F1AC64B-51DF-41DB-A3BA-D2F7A4C31212}">
      <text>
        <r>
          <rPr>
            <sz val="9"/>
            <color indexed="81"/>
            <rFont val="Tahoma"/>
            <charset val="1"/>
          </rPr>
          <t xml:space="preserve">Canada Life adopted IFRS 17 beginning in 2023, which introduced the “Insurance revenue” line used in the newer annual reports. Therefore, 2022 Total net premiums is not directly comparable to 2023 to 2025 Insurance revenue because the accounting basis changed. Since 2023, restated the 2022 annual, we will be dropping the 2021.
</t>
        </r>
      </text>
    </comment>
    <comment ref="A5" authorId="0" shapeId="0" xr:uid="{87F8FDE5-D62D-4E7F-A4BA-16BB35468722}">
      <text>
        <r>
          <rPr>
            <sz val="9"/>
            <color indexed="81"/>
            <rFont val="Tahoma"/>
            <charset val="1"/>
          </rPr>
          <t xml:space="preserve">For insurance companies, the cost of revenue (COGS) is close to the insurance service expenses
</t>
        </r>
      </text>
    </comment>
    <comment ref="A6" authorId="0" shapeId="0" xr:uid="{30CFD3FD-CCDC-4029-927A-6AAD5D42226B}">
      <text>
        <r>
          <rPr>
            <sz val="9"/>
            <color indexed="81"/>
            <rFont val="Tahoma"/>
            <charset val="1"/>
          </rPr>
          <t xml:space="preserve">The insurance service result is the gross profit equivalent. 
Gross profit is mainly used for mainly for manufacturing or retail companies, while Canada Life (CL) is an insurer operating under IFRS 17.
Canada Life’s annual reports do not contain a line specifically called “Operating Income.” For an insurance company, the closest reported operating subtotal is generally Insurance service result, but it does not include all investment income, fee income, or administrative expenses.
Insurance service result = insurance revenue - insurance service expenses - Net expense from reinsurance contracts.
</t>
        </r>
      </text>
    </comment>
    <comment ref="A7" authorId="0" shapeId="0" xr:uid="{52185BAC-91F8-4007-BE14-C8BC8372536E}">
      <text>
        <r>
          <rPr>
            <sz val="9"/>
            <color indexed="81"/>
            <rFont val="Tahoma"/>
            <charset val="1"/>
          </rPr>
          <t xml:space="preserve">This is the "Operating Expenses" equivalent. 
</t>
        </r>
        <r>
          <rPr>
            <b/>
            <sz val="9"/>
            <color indexed="81"/>
            <rFont val="Tahoma"/>
            <family val="2"/>
          </rPr>
          <t>NOTE:</t>
        </r>
        <r>
          <rPr>
            <sz val="9"/>
            <color indexed="81"/>
            <rFont val="Tahoma"/>
            <charset val="1"/>
          </rPr>
          <t xml:space="preserve"> Canada Life also reports Insurance service expenses, which are different from operating and administrative expenses: Insurance service expenses relate directly to fulfilling insurance contracts, while operating and administrative expenses represent broader business operating costs. Both appear in the Consolidated Statements of Earnings, but in separate sections.
</t>
        </r>
      </text>
    </comment>
    <comment ref="A8" authorId="0" shapeId="0" xr:uid="{1659F652-C2DB-4293-8464-90B77BE23056}">
      <text>
        <r>
          <rPr>
            <sz val="9"/>
            <color indexed="81"/>
            <rFont val="Tahoma"/>
            <family val="2"/>
          </rPr>
          <t>Canada Life uses the term“Net earnings” instead of“Net income.”</t>
        </r>
      </text>
    </comment>
    <comment ref="A13" authorId="0" shapeId="0" xr:uid="{BC8F9592-D229-4214-BF29-23C47D38A133}">
      <text>
        <r>
          <rPr>
            <sz val="9"/>
            <color indexed="81"/>
            <rFont val="Tahoma"/>
            <family val="2"/>
          </rPr>
          <t>Canada Life does not report a single line called “Total debt.” The closest directly reported debt amount is“Debentures and other debt instruments”
Canada Life also reports Preferred shares of $1,000 million in each of 2023, 2024, and 2025 within liabilities. However, preferred shares should not automatically be included in total debt unless your assignment specifically defines debt to include preferred capital.
Do not use Total liabilities as total debt. Total liabilities also include insurance-contract liabilities, investment-contract liabilities, accounts payable, taxes, derivatives, and segregated-fund contract liabilities. For a standard financial comparison, Debentures and other debt instruments is the safest match for Total Debt.</t>
        </r>
      </text>
    </comment>
    <comment ref="A14" authorId="0" shapeId="0" xr:uid="{49202555-5642-4FDD-9E1A-C531441A6D5B}">
      <text>
        <r>
          <rPr>
            <sz val="9"/>
            <color indexed="81"/>
            <rFont val="Tahoma"/>
            <family val="2"/>
          </rPr>
          <t>For Canada Life, the annual reports do not explicitly label a line as "Operating Cash Flow". Instead, the net cash provided by operating activities is the subtotal at the bottom of the Operations section</t>
        </r>
        <r>
          <rPr>
            <b/>
            <sz val="9"/>
            <color indexed="81"/>
            <rFont val="Tahoma"/>
            <charset val="1"/>
          </rPr>
          <t>.</t>
        </r>
        <r>
          <rPr>
            <sz val="9"/>
            <color indexed="81"/>
            <rFont val="Tahoma"/>
            <charset val="1"/>
          </rPr>
          <t xml:space="preserve">
Important note for insurers
For insurers such as Canada Life, operating cash flow is often less useful than for industrial companies because large policyholder liabilities and investment portfolio movements can create significant swings in cash flow. Analysts typically focus more on: Net earnings, Insurance service result, LICAT ratio, Contractual Service Margin (CSM), Book value / shareholder equity</t>
        </r>
      </text>
    </comment>
    <comment ref="A15" authorId="0" shapeId="0" xr:uid="{6E6F5986-C5FF-4C2E-90CF-37E0CC3DF7DD}">
      <text>
        <r>
          <rPr>
            <b/>
            <sz val="9"/>
            <color indexed="81"/>
            <rFont val="Tahoma"/>
            <family val="2"/>
          </rPr>
          <t xml:space="preserve">CSM (Contractual Service Margin)
</t>
        </r>
        <r>
          <rPr>
            <sz val="9"/>
            <color indexed="81"/>
            <rFont val="Tahoma"/>
            <family val="2"/>
          </rPr>
          <t>The future profits that Canada Life expects to earn from insurance contracts that have already been sold.
Example -Suppose Canada Life sells a long-term life insurance policy today.
The company expects:
Premiums received over time = $10,000
Claims and expenses = $8,000
Under IFRS 17, Canada Life cannot recognize the entire $2,000 profit immediately. Then the company gradually recognizes that profit over the life of the contract.
A larger CSM means: More future earnings already locked in,  Greater earnings visibility, More profitable business written, Strong future cash generation potential
For many insurers, CSM is viewed almost like an "order backlog."</t>
        </r>
      </text>
    </comment>
    <comment ref="A18" authorId="0" shapeId="0" xr:uid="{07E7F086-D1ED-4C08-B9ED-98813F81BF49}">
      <text>
        <r>
          <rPr>
            <sz val="9"/>
            <color indexed="81"/>
            <rFont val="Tahoma"/>
            <family val="2"/>
          </rPr>
          <t>LICAT is Canada's regulatory capital ratio for life insurers, established by the Office of the Superintendent of Financial Institutions (OSFI).</t>
        </r>
        <r>
          <rPr>
            <sz val="9"/>
            <color indexed="81"/>
            <rFont val="Tahoma"/>
            <charset val="1"/>
          </rPr>
          <t xml:space="preserve">
A higher ratio means the insurer has a larger cushion against adverse events such as: Market crashes, Interest rate shocks, Higher-than-expected death claims, Disability claims, Longevity risk, Credit losses, Operational failures.
Why investors care - A high LICAT ratio means: Greater ability to withstand recessions, Better claim-paying ability, Lower insolvency risk, More flexibility to pay dividends, More room for growth and acquisitions, For insurers, a LICAT of around 120%-130%+ is generally considered strong.</t>
        </r>
      </text>
    </comment>
    <comment ref="A22" authorId="0" shapeId="0" xr:uid="{43EF8877-12E6-4E7B-8394-96CDDB4FEB04}">
      <text>
        <r>
          <rPr>
            <sz val="9"/>
            <color indexed="81"/>
            <rFont val="Tahoma"/>
            <charset val="1"/>
          </rPr>
          <t xml:space="preserve">Profitability ratio
</t>
        </r>
        <r>
          <rPr>
            <b/>
            <sz val="9"/>
            <color indexed="81"/>
            <rFont val="Tahoma"/>
            <family val="2"/>
          </rPr>
          <t>Net profit margin = Net earnings/Insurance revenue</t>
        </r>
        <r>
          <rPr>
            <sz val="9"/>
            <color indexed="81"/>
            <rFont val="Tahoma"/>
            <charset val="1"/>
          </rPr>
          <t xml:space="preserve">
Net earnings generated from each dollar of insurance revenue.</t>
        </r>
      </text>
    </comment>
    <comment ref="A23" authorId="0" shapeId="0" xr:uid="{E1455F4C-C318-46D6-A7A9-6F48D9A79412}">
      <text>
        <r>
          <rPr>
            <sz val="9"/>
            <color indexed="81"/>
            <rFont val="Tahoma"/>
            <family val="2"/>
          </rPr>
          <t xml:space="preserve">Profitability ratio
</t>
        </r>
        <r>
          <rPr>
            <b/>
            <sz val="9"/>
            <color indexed="81"/>
            <rFont val="Tahoma"/>
            <family val="2"/>
          </rPr>
          <t>ROA = Net earnings/Average total assets
Average total assets = (Beginning assets + Ending assets)/2</t>
        </r>
        <r>
          <rPr>
            <sz val="9"/>
            <color indexed="81"/>
            <rFont val="Tahoma"/>
            <family val="2"/>
          </rPr>
          <t xml:space="preserve">
How efficiently assets generate earnings</t>
        </r>
      </text>
    </comment>
    <comment ref="B23" authorId="0" shapeId="0" xr:uid="{41886427-F51F-427E-99B7-CE9A641D56BD}">
      <text>
        <r>
          <rPr>
            <sz val="9"/>
            <color indexed="81"/>
            <rFont val="Tahoma"/>
            <charset val="1"/>
          </rPr>
          <t>For the average total assets calculation, the number is found by online since the IFRS 17 started in 2023, which doesn't apply for previous annual reports.</t>
        </r>
      </text>
    </comment>
    <comment ref="A24" authorId="0" shapeId="0" xr:uid="{EE852A70-6329-4DDD-A72F-A6921A566855}">
      <text>
        <r>
          <rPr>
            <sz val="9"/>
            <color indexed="81"/>
            <rFont val="Tahoma"/>
            <family val="2"/>
          </rPr>
          <t xml:space="preserve">Profitability ratio
</t>
        </r>
        <r>
          <rPr>
            <b/>
            <sz val="9"/>
            <color indexed="81"/>
            <rFont val="Tahoma"/>
            <family val="2"/>
          </rPr>
          <t>ROE = Net earnings/Average shareholders’ equity
Average shareholders’ equity=(Beginning shareholders’ equity+Ending shareholders’ equity​)/2</t>
        </r>
        <r>
          <rPr>
            <sz val="9"/>
            <color indexed="81"/>
            <rFont val="Tahoma"/>
            <family val="2"/>
          </rPr>
          <t xml:space="preserve">
Return earned on shareholder capital</t>
        </r>
      </text>
    </comment>
    <comment ref="B24" authorId="0" shapeId="0" xr:uid="{6C35B411-9729-4A75-9213-F0257E95F3F3}">
      <text>
        <r>
          <rPr>
            <sz val="9"/>
            <color indexed="81"/>
            <rFont val="Tahoma"/>
            <family val="2"/>
          </rPr>
          <t>For the average calculation, the number is found by online since the IFRS 17 started in 2023, which doesn't apply for previous annual reports.</t>
        </r>
        <r>
          <rPr>
            <sz val="9"/>
            <color indexed="81"/>
            <rFont val="Tahoma"/>
            <charset val="1"/>
          </rPr>
          <t xml:space="preserve">
</t>
        </r>
      </text>
    </comment>
    <comment ref="C24" authorId="0" shapeId="0" xr:uid="{68B85B61-38F4-49F6-B803-35686864675F}">
      <text>
        <r>
          <rPr>
            <sz val="9"/>
            <color indexed="81"/>
            <rFont val="Tahoma"/>
            <family val="2"/>
          </rPr>
          <t xml:space="preserve">For the average calculation, the number is found by online since the IFRS 17 started in 2023, which doesn't apply for previous annual reports.
</t>
        </r>
      </text>
    </comment>
    <comment ref="A25" authorId="0" shapeId="0" xr:uid="{59EF187E-C4A7-40BA-8340-A600C25EF35E}">
      <text>
        <r>
          <rPr>
            <sz val="9"/>
            <color indexed="81"/>
            <rFont val="Tahoma"/>
            <family val="2"/>
          </rPr>
          <t xml:space="preserve">Profitability ratio
</t>
        </r>
        <r>
          <rPr>
            <b/>
            <sz val="9"/>
            <color indexed="81"/>
            <rFont val="Tahoma"/>
            <family val="2"/>
          </rPr>
          <t>Return on total equity = Net earnings/Average total equity
Average total equity=(Beginning Total Equity+Ending Total Equity)/2​</t>
        </r>
        <r>
          <rPr>
            <sz val="9"/>
            <color indexed="81"/>
            <rFont val="Tahoma"/>
            <family val="2"/>
          </rPr>
          <t xml:space="preserve">
Return generated on all reported equity</t>
        </r>
      </text>
    </comment>
    <comment ref="B25" authorId="0" shapeId="0" xr:uid="{98CD0ECD-2671-49BF-97E7-E871C370AAF9}">
      <text>
        <r>
          <rPr>
            <sz val="9"/>
            <color indexed="81"/>
            <rFont val="Tahoma"/>
            <family val="2"/>
          </rPr>
          <t>For the average calculation, the number is found by online since the IFRS 17 started in 2023, which doesn't apply for previous annual reports.</t>
        </r>
        <r>
          <rPr>
            <b/>
            <sz val="9"/>
            <color indexed="81"/>
            <rFont val="Tahoma"/>
            <family val="2"/>
          </rPr>
          <t xml:space="preserve">
</t>
        </r>
        <r>
          <rPr>
            <sz val="9"/>
            <color indexed="81"/>
            <rFont val="Tahoma"/>
            <family val="2"/>
          </rPr>
          <t xml:space="preserve">
</t>
        </r>
      </text>
    </comment>
    <comment ref="C25" authorId="0" shapeId="0" xr:uid="{354AABDA-71A0-40AF-9187-925B76AFAE5D}">
      <text>
        <r>
          <rPr>
            <sz val="9"/>
            <color indexed="81"/>
            <rFont val="Tahoma"/>
            <family val="2"/>
          </rPr>
          <t>For the average calculation, the number is found by online since the IFRS 17 started in 2023, which doesn't apply for previous annual reports.</t>
        </r>
        <r>
          <rPr>
            <b/>
            <sz val="9"/>
            <color indexed="81"/>
            <rFont val="Tahoma"/>
            <family val="2"/>
          </rPr>
          <t xml:space="preserve">
</t>
        </r>
      </text>
    </comment>
    <comment ref="A26" authorId="0" shapeId="0" xr:uid="{C9EC406D-5054-4117-913B-0F9F04B2C2EE}">
      <text>
        <r>
          <rPr>
            <sz val="9"/>
            <color indexed="81"/>
            <rFont val="Tahoma"/>
            <family val="2"/>
          </rPr>
          <t xml:space="preserve">Insurance performance ratio
</t>
        </r>
        <r>
          <rPr>
            <b/>
            <sz val="9"/>
            <color indexed="81"/>
            <rFont val="Tahoma"/>
            <family val="2"/>
          </rPr>
          <t>Insurance service margin = Insurance service result ÷ Insurance revenue</t>
        </r>
        <r>
          <rPr>
            <sz val="9"/>
            <color indexed="81"/>
            <rFont val="Tahoma"/>
            <family val="2"/>
          </rPr>
          <t xml:space="preserve">
Profitability of insurance services before other income and expenses
</t>
        </r>
      </text>
    </comment>
    <comment ref="A27" authorId="0" shapeId="0" xr:uid="{B09D3D18-15E9-48A7-996B-D31027F65B1F}">
      <text>
        <r>
          <rPr>
            <sz val="9"/>
            <color indexed="81"/>
            <rFont val="Tahoma"/>
            <family val="2"/>
          </rPr>
          <t xml:space="preserve">Insurance performance
</t>
        </r>
        <r>
          <rPr>
            <b/>
            <sz val="9"/>
            <color indexed="81"/>
            <rFont val="Tahoma"/>
            <family val="2"/>
          </rPr>
          <t>Insurance service expense ratio = Insurance service expenses/Insurance revenue</t>
        </r>
        <r>
          <rPr>
            <sz val="9"/>
            <color indexed="81"/>
            <rFont val="Tahoma"/>
            <family val="2"/>
          </rPr>
          <t xml:space="preserve">
Insurance service costs as a percentage of insurance revenue</t>
        </r>
      </text>
    </comment>
    <comment ref="A28" authorId="0" shapeId="0" xr:uid="{0C6F8177-8310-4EF9-87AC-C31FEF7CE6E1}">
      <text>
        <r>
          <rPr>
            <sz val="9"/>
            <color indexed="81"/>
            <rFont val="Tahoma"/>
            <family val="2"/>
          </rPr>
          <t xml:space="preserve">Insurance performance
</t>
        </r>
        <r>
          <rPr>
            <b/>
            <sz val="9"/>
            <color indexed="81"/>
            <rFont val="Tahoma"/>
            <family val="2"/>
          </rPr>
          <t xml:space="preserve">Implied reinsurance expense ratio = Implied net reinsurance expense/Insurance revenue
Implied net reinsurance expense=Insurance Revenue−∣Insurance Service Expenses∣−Insurance Service Result
</t>
        </r>
        <r>
          <rPr>
            <sz val="9"/>
            <color indexed="81"/>
            <rFont val="Tahoma"/>
            <family val="2"/>
          </rPr>
          <t xml:space="preserve">
Impact of reinsurance on insurance service profitability</t>
        </r>
      </text>
    </comment>
    <comment ref="A29" authorId="0" shapeId="0" xr:uid="{831CF2C4-12E4-4DF5-B800-2141E47B5909}">
      <text>
        <r>
          <rPr>
            <sz val="9"/>
            <color indexed="81"/>
            <rFont val="Tahoma"/>
            <family val="2"/>
          </rPr>
          <t xml:space="preserve">Expense efficiency
</t>
        </r>
        <r>
          <rPr>
            <b/>
            <sz val="9"/>
            <color indexed="81"/>
            <rFont val="Tahoma"/>
            <family val="2"/>
          </rPr>
          <t>Operating expense ratio = Operating and administrative expenses/Insurance revenue</t>
        </r>
        <r>
          <rPr>
            <sz val="9"/>
            <color indexed="81"/>
            <rFont val="Tahoma"/>
            <family val="2"/>
          </rPr>
          <t xml:space="preserve">
Administrative cost relative to insurance revenue</t>
        </r>
      </text>
    </comment>
    <comment ref="A30" authorId="0" shapeId="0" xr:uid="{D60A130F-886B-42E7-9140-B9ECEF664754}">
      <text>
        <r>
          <rPr>
            <sz val="9"/>
            <color indexed="81"/>
            <rFont val="Tahoma"/>
            <family val="2"/>
          </rPr>
          <t xml:space="preserve">Expense efficiency
</t>
        </r>
        <r>
          <rPr>
            <b/>
            <sz val="9"/>
            <color indexed="81"/>
            <rFont val="Tahoma"/>
            <family val="2"/>
          </rPr>
          <t>Combined operating burden = (Insurance service expenses + operating expenses)/Insurance revenue</t>
        </r>
        <r>
          <rPr>
            <sz val="9"/>
            <color indexed="81"/>
            <rFont val="Tahoma"/>
            <family val="2"/>
          </rPr>
          <t xml:space="preserve">
Broader cost burden relative to insurance revenue</t>
        </r>
      </text>
    </comment>
    <comment ref="A31" authorId="0" shapeId="0" xr:uid="{1F648360-AA5B-4022-B6C8-CF146731F016}">
      <text>
        <r>
          <rPr>
            <sz val="9"/>
            <color indexed="81"/>
            <rFont val="Tahoma"/>
            <family val="2"/>
          </rPr>
          <t xml:space="preserve">Solvency
</t>
        </r>
        <r>
          <rPr>
            <b/>
            <sz val="9"/>
            <color indexed="81"/>
            <rFont val="Tahoma"/>
            <family val="2"/>
          </rPr>
          <t>Liabilities-to-assets ratio = Total liabilities/Total assets</t>
        </r>
        <r>
          <rPr>
            <sz val="9"/>
            <color indexed="81"/>
            <rFont val="Tahoma"/>
            <family val="2"/>
          </rPr>
          <t xml:space="preserve">
Percentage of assets financed by liabilities</t>
        </r>
      </text>
    </comment>
    <comment ref="A32" authorId="0" shapeId="0" xr:uid="{70FD3DEC-DF5D-4EA3-9FC3-F9E13BD05EB2}">
      <text>
        <r>
          <rPr>
            <sz val="9"/>
            <color indexed="81"/>
            <rFont val="Tahoma"/>
            <family val="2"/>
          </rPr>
          <t xml:space="preserve">Solvency
</t>
        </r>
        <r>
          <rPr>
            <b/>
            <sz val="9"/>
            <color indexed="81"/>
            <rFont val="Tahoma"/>
            <family val="2"/>
          </rPr>
          <t>Equity-to-assets ratio = Total equity/Total assets</t>
        </r>
        <r>
          <rPr>
            <sz val="9"/>
            <color indexed="81"/>
            <rFont val="Tahoma"/>
            <family val="2"/>
          </rPr>
          <t xml:space="preserve">
Capital cushion relative to assets
</t>
        </r>
      </text>
    </comment>
    <comment ref="A33" authorId="0" shapeId="0" xr:uid="{5D2F9C80-D27B-42F8-A659-09BDD6D655E9}">
      <text>
        <r>
          <rPr>
            <sz val="9"/>
            <color indexed="81"/>
            <rFont val="Tahoma"/>
            <family val="2"/>
          </rPr>
          <t xml:space="preserve">Solvency
</t>
        </r>
        <r>
          <rPr>
            <b/>
            <sz val="9"/>
            <color indexed="81"/>
            <rFont val="Tahoma"/>
            <family val="2"/>
          </rPr>
          <t>Debt-to-shareholders’ equity = Debentures and other debt instruments/Shareholders’ equity</t>
        </r>
        <r>
          <rPr>
            <sz val="9"/>
            <color indexed="81"/>
            <rFont val="Tahoma"/>
            <family val="2"/>
          </rPr>
          <t xml:space="preserve">
Financial debt compared with shareholder capital</t>
        </r>
      </text>
    </comment>
    <comment ref="A34" authorId="0" shapeId="0" xr:uid="{3E4A40E6-1782-438C-8DC9-F02E761C67B9}">
      <text>
        <r>
          <rPr>
            <sz val="9"/>
            <color indexed="81"/>
            <rFont val="Tahoma"/>
            <family val="2"/>
          </rPr>
          <t xml:space="preserve">Solvency
</t>
        </r>
        <r>
          <rPr>
            <b/>
            <sz val="9"/>
            <color indexed="81"/>
            <rFont val="Tahoma"/>
            <family val="2"/>
          </rPr>
          <t>Debt-to-total-equity=Debentures and other debt instruments/Total equity</t>
        </r>
        <r>
          <rPr>
            <sz val="9"/>
            <color indexed="81"/>
            <rFont val="Tahoma"/>
            <family val="2"/>
          </rPr>
          <t xml:space="preserve">
Debt burden compared with all equity
</t>
        </r>
      </text>
    </comment>
    <comment ref="A35" authorId="0" shapeId="0" xr:uid="{5D3F9509-4EFB-4815-9A0A-E544B9F9880B}">
      <text>
        <r>
          <rPr>
            <sz val="9"/>
            <color indexed="81"/>
            <rFont val="Tahoma"/>
            <family val="2"/>
          </rPr>
          <t xml:space="preserve">Solvency
</t>
        </r>
        <r>
          <rPr>
            <b/>
            <sz val="9"/>
            <color indexed="81"/>
            <rFont val="Tahoma"/>
            <family val="2"/>
          </rPr>
          <t>Financial leverage ratio=Average total assets/Average shareholders’ equity</t>
        </r>
        <r>
          <rPr>
            <sz val="9"/>
            <color indexed="81"/>
            <rFont val="Tahoma"/>
            <family val="2"/>
          </rPr>
          <t xml:space="preserve">
Assets supported by each dollar of shareholder equity</t>
        </r>
      </text>
    </comment>
    <comment ref="A36" authorId="0" shapeId="0" xr:uid="{78A0EA3A-0EA3-4F0C-8B97-D273619C6B2A}">
      <text>
        <r>
          <rPr>
            <sz val="9"/>
            <color indexed="81"/>
            <rFont val="Tahoma"/>
            <family val="2"/>
          </rPr>
          <t xml:space="preserve">Liquidity
</t>
        </r>
        <r>
          <rPr>
            <b/>
            <sz val="9"/>
            <color indexed="81"/>
            <rFont val="Tahoma"/>
            <family val="2"/>
          </rPr>
          <t>Cash-to-assets ratio=Cash and cash equivalents/Total assets</t>
        </r>
        <r>
          <rPr>
            <sz val="9"/>
            <color indexed="81"/>
            <rFont val="Tahoma"/>
            <family val="2"/>
          </rPr>
          <t xml:space="preserve">
Immediate liquidity as a percentage of assets</t>
        </r>
      </text>
    </comment>
    <comment ref="A37" authorId="0" shapeId="0" xr:uid="{818E8D7C-1E59-47E6-9894-C4596500B96B}">
      <text>
        <r>
          <rPr>
            <sz val="9"/>
            <color indexed="81"/>
            <rFont val="Tahoma"/>
            <family val="2"/>
          </rPr>
          <t xml:space="preserve">Liquidity
</t>
        </r>
        <r>
          <rPr>
            <b/>
            <sz val="9"/>
            <color indexed="81"/>
            <rFont val="Tahoma"/>
            <family val="2"/>
          </rPr>
          <t xml:space="preserve">Cash-to-debt ratio=Cash and cash equivalents/Debentures and other debt instruments
</t>
        </r>
        <r>
          <rPr>
            <sz val="9"/>
            <color indexed="81"/>
            <rFont val="Tahoma"/>
            <family val="2"/>
          </rPr>
          <t xml:space="preserve">
Ability of cash to cover reported debentures and debt</t>
        </r>
      </text>
    </comment>
    <comment ref="A38" authorId="0" shapeId="0" xr:uid="{65A866B5-7AFE-42AB-A2F9-3D7377921322}">
      <text>
        <r>
          <rPr>
            <sz val="9"/>
            <color indexed="81"/>
            <rFont val="Tahoma"/>
            <family val="2"/>
          </rPr>
          <t xml:space="preserve">Cash flow
</t>
        </r>
        <r>
          <rPr>
            <b/>
            <sz val="9"/>
            <color indexed="81"/>
            <rFont val="Tahoma"/>
            <family val="2"/>
          </rPr>
          <t>Operating cash-flow margin=Operating cash flow/Insurance revenue</t>
        </r>
        <r>
          <rPr>
            <sz val="9"/>
            <color indexed="81"/>
            <rFont val="Tahoma"/>
            <family val="2"/>
          </rPr>
          <t xml:space="preserve">
Operating cash generated per dollar of insurance revenue</t>
        </r>
      </text>
    </comment>
    <comment ref="A39" authorId="0" shapeId="0" xr:uid="{629534E1-DB65-4909-B2F1-6C0C15200DB8}">
      <text>
        <r>
          <rPr>
            <sz val="9"/>
            <color indexed="81"/>
            <rFont val="Tahoma"/>
            <family val="2"/>
          </rPr>
          <t xml:space="preserve">Cash flow
</t>
        </r>
        <r>
          <rPr>
            <b/>
            <sz val="9"/>
            <color indexed="81"/>
            <rFont val="Tahoma"/>
            <family val="2"/>
          </rPr>
          <t>Operating cash flow to net earnings=Operating cash flow/Net earnings</t>
        </r>
        <r>
          <rPr>
            <sz val="9"/>
            <color indexed="81"/>
            <rFont val="Tahoma"/>
            <family val="2"/>
          </rPr>
          <t xml:space="preserve">
Cash conversion of accounting earnings</t>
        </r>
      </text>
    </comment>
    <comment ref="A40" authorId="0" shapeId="0" xr:uid="{E42FF970-40FC-4452-964C-7E65024B0C3F}">
      <text>
        <r>
          <rPr>
            <sz val="9"/>
            <color indexed="81"/>
            <rFont val="Tahoma"/>
            <family val="2"/>
          </rPr>
          <t xml:space="preserve">Cash flow
</t>
        </r>
        <r>
          <rPr>
            <b/>
            <sz val="9"/>
            <color indexed="81"/>
            <rFont val="Tahoma"/>
            <family val="2"/>
          </rPr>
          <t>Operating cash flow return on assets=Operating cash flow/Average total assets</t>
        </r>
        <r>
          <rPr>
            <sz val="9"/>
            <color indexed="81"/>
            <rFont val="Tahoma"/>
            <family val="2"/>
          </rPr>
          <t xml:space="preserve">
Cash-generating productivity of assets</t>
        </r>
      </text>
    </comment>
    <comment ref="A41" authorId="0" shapeId="0" xr:uid="{86D58471-CB9D-4EF0-A244-66B9DB1545D4}">
      <text>
        <r>
          <rPr>
            <sz val="9"/>
            <color indexed="81"/>
            <rFont val="Tahoma"/>
            <family val="2"/>
          </rPr>
          <t xml:space="preserve">Dividends
</t>
        </r>
        <r>
          <rPr>
            <b/>
            <sz val="9"/>
            <color indexed="81"/>
            <rFont val="Tahoma"/>
            <family val="2"/>
          </rPr>
          <t>Dividend payout ratio=Dividends paid/Net earnings</t>
        </r>
        <r>
          <rPr>
            <sz val="9"/>
            <color indexed="81"/>
            <rFont val="Tahoma"/>
            <family val="2"/>
          </rPr>
          <t xml:space="preserve">
Percentage of earnings distributed as dividends</t>
        </r>
      </text>
    </comment>
    <comment ref="A42" authorId="0" shapeId="0" xr:uid="{EDCED61D-B27E-48AC-AA05-171679C21D2B}">
      <text>
        <r>
          <rPr>
            <sz val="9"/>
            <color indexed="81"/>
            <rFont val="Tahoma"/>
            <family val="2"/>
          </rPr>
          <t xml:space="preserve">Dividends
</t>
        </r>
        <r>
          <rPr>
            <b/>
            <sz val="9"/>
            <color indexed="81"/>
            <rFont val="Tahoma"/>
            <family val="2"/>
          </rPr>
          <t>Cash dividend coverage=Operating cash flow/Dividends paid</t>
        </r>
        <r>
          <rPr>
            <sz val="9"/>
            <color indexed="81"/>
            <rFont val="Tahoma"/>
            <family val="2"/>
          </rPr>
          <t xml:space="preserve">
Ability of operating cash flow to cover dividends</t>
        </r>
      </text>
    </comment>
    <comment ref="A43" authorId="0" shapeId="0" xr:uid="{ACA0D7E7-5E65-409D-958F-C708762B912F}">
      <text>
        <r>
          <rPr>
            <sz val="9"/>
            <color indexed="81"/>
            <rFont val="Tahoma"/>
            <family val="2"/>
          </rPr>
          <t xml:space="preserve">Dividends
</t>
        </r>
        <r>
          <rPr>
            <b/>
            <sz val="9"/>
            <color indexed="81"/>
            <rFont val="Tahoma"/>
            <family val="2"/>
          </rPr>
          <t>Dividends-to-equity ratio=Dividends paid/Average shareholders’ equity</t>
        </r>
        <r>
          <rPr>
            <sz val="9"/>
            <color indexed="81"/>
            <rFont val="Tahoma"/>
            <family val="2"/>
          </rPr>
          <t xml:space="preserve">
Dividend distributions relative to shareholder capital</t>
        </r>
      </text>
    </comment>
    <comment ref="A44" authorId="0" shapeId="0" xr:uid="{08A04C87-71B6-47FC-876B-5E4EEC1D55A6}">
      <text>
        <r>
          <rPr>
            <sz val="9"/>
            <color indexed="81"/>
            <rFont val="Tahoma"/>
            <family val="2"/>
          </rPr>
          <t xml:space="preserve">IFRS 17
</t>
        </r>
        <r>
          <rPr>
            <b/>
            <sz val="9"/>
            <color indexed="81"/>
            <rFont val="Tahoma"/>
            <family val="2"/>
          </rPr>
          <t>CSM-to-insurance-revenue ratio=Total CSM/Insurance revenue</t>
        </r>
        <r>
          <rPr>
            <sz val="9"/>
            <color indexed="81"/>
            <rFont val="Tahoma"/>
            <family val="2"/>
          </rPr>
          <t xml:space="preserve">
Future unearned insurance profit relative to annual revenue</t>
        </r>
      </text>
    </comment>
    <comment ref="A45" authorId="0" shapeId="0" xr:uid="{C988D486-401B-4C5B-B061-28A26349F99C}">
      <text>
        <r>
          <rPr>
            <sz val="9"/>
            <color indexed="81"/>
            <rFont val="Tahoma"/>
            <family val="2"/>
          </rPr>
          <t xml:space="preserve">IFRS 17
</t>
        </r>
        <r>
          <rPr>
            <b/>
            <sz val="9"/>
            <color indexed="81"/>
            <rFont val="Tahoma"/>
            <family val="2"/>
          </rPr>
          <t>CSM-to-equity ratio=Total CSM/Total equity</t>
        </r>
        <r>
          <rPr>
            <sz val="9"/>
            <color indexed="81"/>
            <rFont val="Tahoma"/>
            <family val="2"/>
          </rPr>
          <t xml:space="preserve">
Future insurance profit balance relative to existing equity</t>
        </r>
      </text>
    </comment>
    <comment ref="A46" authorId="0" shapeId="0" xr:uid="{A54D03D1-D2F0-449C-B052-FDF96F3A474F}">
      <text>
        <r>
          <rPr>
            <sz val="9"/>
            <color indexed="81"/>
            <rFont val="Tahoma"/>
            <family val="2"/>
          </rPr>
          <t>IFRS 17
CSM growth rate=Current CSM/Prior-year CSM − 1
Growth or contraction in future unearned profit</t>
        </r>
      </text>
    </comment>
    <comment ref="A47" authorId="0" shapeId="0" xr:uid="{E004DCCA-492B-45D1-9BA3-5B72A68E0BE8}">
      <text>
        <r>
          <rPr>
            <sz val="9"/>
            <color indexed="81"/>
            <rFont val="Tahoma"/>
            <family val="2"/>
          </rPr>
          <t>Capital adequacy</t>
        </r>
        <r>
          <rPr>
            <b/>
            <sz val="9"/>
            <color indexed="81"/>
            <rFont val="Tahoma"/>
            <family val="2"/>
          </rPr>
          <t xml:space="preserve">
LICAT year-over-year change=Current LICAT ratio − Prior-year LICAT ratio
</t>
        </r>
        <r>
          <rPr>
            <sz val="9"/>
            <color indexed="81"/>
            <rFont val="Tahoma"/>
            <family val="2"/>
          </rPr>
          <t>Change in regulatory capital strength, in percentage points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<sst xmlns="http://schemas.openxmlformats.org/spreadsheetml/2006/main" count="753" uniqueCount="275">
  <si>
    <t>Summary of net earnings attributable to:</t>
  </si>
  <si>
    <t>Participating account</t>
  </si>
  <si>
    <t>Common shareholder</t>
  </si>
  <si>
    <t>Net earnings</t>
  </si>
  <si>
    <t>Insurance service result</t>
  </si>
  <si>
    <t>Net investment result</t>
  </si>
  <si>
    <t>Fee and other income</t>
  </si>
  <si>
    <t>Total assets</t>
  </si>
  <si>
    <t>Total contractual service margin (net of reinsurance held)</t>
  </si>
  <si>
    <t>Participating account surplus</t>
  </si>
  <si>
    <t>Non-controlling interests</t>
  </si>
  <si>
    <t>–</t>
  </si>
  <si>
    <t>Shareholders’ equity</t>
  </si>
  <si>
    <t>Total equity</t>
  </si>
  <si>
    <t>Net expense from reinsurance contracts</t>
  </si>
  <si>
    <t>Net investment result (note 6)</t>
  </si>
  <si>
    <t>Net investment income</t>
  </si>
  <si>
    <t>Changes in fair value on fair value through profit or loss assets</t>
  </si>
  <si>
    <t>Net finance income (expenses) from insurance contracts</t>
  </si>
  <si>
    <t>Net finance income (expenses) from reinsurance contracts</t>
  </si>
  <si>
    <t>Changes in investment contract liabilities</t>
  </si>
  <si>
    <t>Net investment result - insurance contracts on account of segregated fund policyholders</t>
  </si>
  <si>
    <t>—</t>
  </si>
  <si>
    <t>Other income and expenses</t>
  </si>
  <si>
    <t>Amortization of finite life intangible assets (note 9)</t>
  </si>
  <si>
    <t>Financing costs (note 19)</t>
  </si>
  <si>
    <t>Restructuring and integration expenses (note 4)</t>
  </si>
  <si>
    <t>Earnings before income taxes</t>
  </si>
  <si>
    <t>Income taxes (note 29)</t>
  </si>
  <si>
    <t>Net earnings before non-controlling interests</t>
  </si>
  <si>
    <t>Attributable to non-controlling interests (note 22)</t>
  </si>
  <si>
    <t>Net earnings - participating account (note 21)</t>
  </si>
  <si>
    <t>Net earnings - common shareholder</t>
  </si>
  <si>
    <t>Cash and cash equivalents (note 5)</t>
  </si>
  <si>
    <t>Bonds (note 6)</t>
  </si>
  <si>
    <t>Mortgage loans (note 6)</t>
  </si>
  <si>
    <t>Stocks (note 6)</t>
  </si>
  <si>
    <t>Investment properties (note 6)</t>
  </si>
  <si>
    <t>Insurance contract assets (note 14)</t>
  </si>
  <si>
    <t>Reinsurance contract held assets (note 15)</t>
  </si>
  <si>
    <t>Goodwill (note 9)</t>
  </si>
  <si>
    <t>Intangible assets (note 9)</t>
  </si>
  <si>
    <t>Derivative financial instruments (note 30)</t>
  </si>
  <si>
    <t>Owner occupied properties (note 10)</t>
  </si>
  <si>
    <t>Fixed assets (note 10)</t>
  </si>
  <si>
    <t>Accounts and interest receivable</t>
  </si>
  <si>
    <t>Other assets (note 11)</t>
  </si>
  <si>
    <t>Current income taxes</t>
  </si>
  <si>
    <t>Deferred tax assets (note 29)</t>
  </si>
  <si>
    <t>Investments on account of segregated fund policyholders (note 17)</t>
  </si>
  <si>
    <t>Liabilities</t>
  </si>
  <si>
    <t>Insurance contract liabilities (note 14)</t>
  </si>
  <si>
    <t>Investment contract liabilities (note 16)</t>
  </si>
  <si>
    <t>Reinsurance contract held liabilities (note 15)</t>
  </si>
  <si>
    <t>Preferred shares (note 23)</t>
  </si>
  <si>
    <t>Accounts payable</t>
  </si>
  <si>
    <t>Other liabilities (note 20)</t>
  </si>
  <si>
    <t>Deferred tax liabilities (note 29)</t>
  </si>
  <si>
    <t>Insurance contracts on account of segregated fund policyholders (note 17)</t>
  </si>
  <si>
    <t>Investment contracts on account of segregated fund policyholders (note 17)</t>
  </si>
  <si>
    <t>Total liabilities</t>
  </si>
  <si>
    <t>Equity</t>
  </si>
  <si>
    <t>Participating account surplus (note 21)</t>
  </si>
  <si>
    <t>Non-controlling interests (note 22)</t>
  </si>
  <si>
    <t>Shareholder's equity</t>
  </si>
  <si>
    <t>Share capital</t>
  </si>
  <si>
    <t>Common shares (note 23)</t>
  </si>
  <si>
    <t>Accumulated surplus</t>
  </si>
  <si>
    <t>Accumulated other comprehensive income (note 27)</t>
  </si>
  <si>
    <t>Contributed surplus</t>
  </si>
  <si>
    <t>Total liabilities and equity</t>
  </si>
  <si>
    <t>Income taxes paid, net of refunds received</t>
  </si>
  <si>
    <t>Adjustments:</t>
  </si>
  <si>
    <t>Change in insurance contract liabilities</t>
  </si>
  <si>
    <t>Change in investment contract liabilities</t>
  </si>
  <si>
    <t>Change in reinsurance contract held liabilities</t>
  </si>
  <si>
    <t>Change in reinsurance contract held assets</t>
  </si>
  <si>
    <t>Change in insurance contract assets</t>
  </si>
  <si>
    <t>Changes in fair value through profit or loss</t>
  </si>
  <si>
    <t>Sales, maturities and repayments of portfolio investments</t>
  </si>
  <si>
    <t>Purchases of portfolio investments</t>
  </si>
  <si>
    <t>Other</t>
  </si>
  <si>
    <t>Financing Activities</t>
  </si>
  <si>
    <t>Dividends paid on common shares</t>
  </si>
  <si>
    <t>Investment Activities</t>
  </si>
  <si>
    <t>Investment in associates and joint ventures</t>
  </si>
  <si>
    <t>Effect of changes in exchange rates on cash and cash equivalents</t>
  </si>
  <si>
    <t>Increase in cash and cash equivalents</t>
  </si>
  <si>
    <t>Cash and cash equivalents, beginning of year</t>
  </si>
  <si>
    <t>Cash and cash equivalents, end of year</t>
  </si>
  <si>
    <t>Supplementary cash flow information</t>
  </si>
  <si>
    <t>Interest income received</t>
  </si>
  <si>
    <t>Interest paid</t>
  </si>
  <si>
    <t>Dividend income received</t>
  </si>
  <si>
    <t>Total assets under management</t>
  </si>
  <si>
    <t>Net investment income (loss)</t>
  </si>
  <si>
    <t>Restructuring expenses (note 4)</t>
  </si>
  <si>
    <t>Accumulated other comprehensive income (loss) (note 27)</t>
  </si>
  <si>
    <t>(71) $</t>
  </si>
  <si>
    <t>Effect of changes in exchange rates on cash and cash e?uivalents</t>
  </si>
  <si>
    <t>Increase in cash and cash e&gt;uivalents</t>
  </si>
  <si>
    <t>(Restated)</t>
  </si>
  <si>
    <t>Net earnings (loss) - participating account (note 21)</t>
  </si>
  <si>
    <t>2023</t>
  </si>
  <si>
    <t>2022</t>
  </si>
  <si>
    <t>Assets</t>
  </si>
  <si>
    <t>Shareholders' equity</t>
  </si>
  <si>
    <t>Accumulated other comprehensive loss (note 27)</t>
  </si>
  <si>
    <t>(359) $</t>
  </si>
  <si>
    <t>Operations</t>
  </si>
  <si>
    <t>Business acquisitions, net of cash and cash equivalents acquired</t>
  </si>
  <si>
    <t>Net earnings before policyholder dividend</t>
  </si>
  <si>
    <t>Policyholder dividends</t>
  </si>
  <si>
    <t>Net earnings – participating account</t>
  </si>
  <si>
    <t>Total net premiums</t>
  </si>
  <si>
    <t>Net policyholder benefits, dividends and experience refunds</t>
  </si>
  <si>
    <t>Income</t>
  </si>
  <si>
    <t>Premium income</t>
  </si>
  <si>
    <t>Gross premiums written</t>
  </si>
  <si>
    <t>Ceded premiums</t>
  </si>
  <si>
    <t>Net investment income (note 6)</t>
  </si>
  <si>
    <t>Regular net investment income</t>
  </si>
  <si>
    <t>Total net investment income (loss)</t>
  </si>
  <si>
    <t>Benefits and expenses</t>
  </si>
  <si>
    <t>Policyholder benefits</t>
  </si>
  <si>
    <t>Gross</t>
  </si>
  <si>
    <t>Ceded</t>
  </si>
  <si>
    <t>Total net policyholder benefits</t>
  </si>
  <si>
    <t>Changes in insurance and investment contract liabilities</t>
  </si>
  <si>
    <t>Total net changes in insurance and investment contract liabilities</t>
  </si>
  <si>
    <t>Policyholder dividends and experience refunds</t>
  </si>
  <si>
    <t>Total paid or credited to policyholders</t>
  </si>
  <si>
    <t>Commissions</t>
  </si>
  <si>
    <t>Operating and administrative expenses (note 27)</t>
  </si>
  <si>
    <t>Premium taxes</t>
  </si>
  <si>
    <t>Financing charges (note 16)</t>
  </si>
  <si>
    <t>Amortization of finite life intangible assets (note 10)</t>
  </si>
  <si>
    <t>Income taxes (note 26)</t>
  </si>
  <si>
    <t>Attributable to non-controlling interests (note 19)</t>
  </si>
  <si>
    <t>Net earnings – participating account (note 18)</t>
  </si>
  <si>
    <t>Net earnings – common shareholder</t>
  </si>
  <si>
    <t>Loans to policyholders</t>
  </si>
  <si>
    <t>Funds held by ceding insurers (note 7)</t>
  </si>
  <si>
    <t>Reinsurance assets (note 13)</t>
  </si>
  <si>
    <t>Goodwill (note 10)</t>
  </si>
  <si>
    <t>Intangible assets (note 10)</t>
  </si>
  <si>
    <t>Derivative financial instruments (note 28)</t>
  </si>
  <si>
    <t>Owner occupied properties (note 11)</t>
  </si>
  <si>
    <t>Fixed assets (note 11)</t>
  </si>
  <si>
    <t>Other assets (note 12)</t>
  </si>
  <si>
    <t>Premiums in course of collection, accounts and interest receivable</t>
  </si>
  <si>
    <t>Deferred tax assets (note 26)</t>
  </si>
  <si>
    <t>Investments on account of segregated fund policyholders (note 14)</t>
  </si>
  <si>
    <t>Insurance contract liabilities (note 13)</t>
  </si>
  <si>
    <t>Investment contract liabilities (note 13)</t>
  </si>
  <si>
    <t>Debentures and other debt instruments (note 15)</t>
  </si>
  <si>
    <t>Preferred shares (note 20)</t>
  </si>
  <si>
    <t>Funds held under reinsurance contracts</t>
  </si>
  <si>
    <t>Other liabilities (note 17)</t>
  </si>
  <si>
    <t>Deferred tax liabilities (note 26)</t>
  </si>
  <si>
    <t>Investment and insurance contracts on account of segregated fund policyholders (note 14)</t>
  </si>
  <si>
    <t>Participating account surplus (note 18)</t>
  </si>
  <si>
    <t>Non-controlling interests (note 19)</t>
  </si>
  <si>
    <t>Share capital (note 20)</t>
  </si>
  <si>
    <t>Common shares</t>
  </si>
  <si>
    <t>Accumulated other comprehensive loss (note 24)</t>
  </si>
  <si>
    <t>Balance, beginning of year</t>
  </si>
  <si>
    <t>Balance, end of year</t>
  </si>
  <si>
    <t>Change in insurance and investment contract liabilities</t>
  </si>
  <si>
    <t>Change in funds held by ceding insurers</t>
  </si>
  <si>
    <t>Change in funds held under reinsurance contracts</t>
  </si>
  <si>
    <t>Change in reinsurance assets</t>
  </si>
  <si>
    <t>Bond sales and maturities</t>
  </si>
  <si>
    <t>Mortgage loan repayments</t>
  </si>
  <si>
    <t>Stock sales</t>
  </si>
  <si>
    <t>Investment property sales</t>
  </si>
  <si>
    <t>Change in loans to policyholders</t>
  </si>
  <si>
    <t>Business acquisitions, net of cash and cash equivalents acquired (note 3)</t>
  </si>
  <si>
    <t>Investment in bonds</t>
  </si>
  <si>
    <t>Investment in mortgage loans</t>
  </si>
  <si>
    <t>Investment in stocks</t>
  </si>
  <si>
    <t>Investment in investment properties</t>
  </si>
  <si>
    <t>2025</t>
  </si>
  <si>
    <t>2024</t>
  </si>
  <si>
    <t>Financial Highlights (Unaudited) (in Canadian $ Million)</t>
  </si>
  <si>
    <t>Consolidated Statements Of Earnings (in Canadian $ Million)</t>
  </si>
  <si>
    <t>Consolidated Balance Sheet  (in Canadian $ Million)</t>
  </si>
  <si>
    <t>Consolidated Statements of Change in Equity</t>
  </si>
  <si>
    <t>Net Earnings</t>
  </si>
  <si>
    <t>Other comprehensive income (loss)</t>
  </si>
  <si>
    <t>Dividends to common shareholder</t>
  </si>
  <si>
    <t>Share-based payments (note 25)</t>
  </si>
  <si>
    <t>Derecognition of non-controlling interest in subsidary</t>
  </si>
  <si>
    <t>Share Capital</t>
  </si>
  <si>
    <t>Contributed Surplus</t>
  </si>
  <si>
    <t>Accumulated Surplus</t>
  </si>
  <si>
    <t>Accumulated Other Comprehensive Income</t>
  </si>
  <si>
    <t>Total Shareholder's Equity</t>
  </si>
  <si>
    <t>Non-controlling Interest</t>
  </si>
  <si>
    <t>Participating Account Surplus</t>
  </si>
  <si>
    <t>Total Equity</t>
  </si>
  <si>
    <t>Consolidated Statements of Cash Flow</t>
  </si>
  <si>
    <t>Total assets under management or advisement</t>
  </si>
  <si>
    <t>Total assets under administration</t>
  </si>
  <si>
    <t>LICAT Ratio</t>
  </si>
  <si>
    <t>Financial Highlights (in Canadian $ millions)</t>
  </si>
  <si>
    <t>Consolidated Balance Sheet  (in Canadian $ millions)</t>
  </si>
  <si>
    <t>Net earnings (loss)</t>
  </si>
  <si>
    <t>Other comprehensive income</t>
  </si>
  <si>
    <t>Derecognition of non-controlling interest in subsidiary</t>
  </si>
  <si>
    <t>Consolidated Statements of Changes in Equity  (in Canadian $ millions)</t>
  </si>
  <si>
    <t>Consolidated Statements of Cash Flow  (in Canadian $ millions)</t>
  </si>
  <si>
    <t>Financial Highlights (unaudited) (in Canadian $ millions)</t>
  </si>
  <si>
    <t>Consolidated Statements of Earnings (in Canadian $ millions)</t>
  </si>
  <si>
    <t>Consolidated Balance Sheets (in Canadian $ millions)</t>
  </si>
  <si>
    <t>2021</t>
  </si>
  <si>
    <t>Consolidated Statements of Changes in Equity (in Canadian $ millions)</t>
  </si>
  <si>
    <t>Balance, beginning of year (restated)</t>
  </si>
  <si>
    <t>Impact of initial application of IFRS 9 (note 3)</t>
  </si>
  <si>
    <t>Revised balance, beginning of year</t>
  </si>
  <si>
    <t>Issue of common shares to parent company (note 23)</t>
  </si>
  <si>
    <t>Acquisition of non-controlling interest in subsidiary</t>
  </si>
  <si>
    <t>Accumulated other comprehensive income (loss)</t>
  </si>
  <si>
    <t>Total shareholders' equity</t>
  </si>
  <si>
    <t>Consolidated Statements of Cash Flows (in Canadian $ millions)</t>
  </si>
  <si>
    <t>Total shareholder's equity</t>
  </si>
  <si>
    <t>Total premiums and deposits</t>
  </si>
  <si>
    <t>Proprietary mutual funds and institutional assets</t>
  </si>
  <si>
    <t>Other assets under administration</t>
  </si>
  <si>
    <t>Book value per common share</t>
  </si>
  <si>
    <t>Summary of net earnings attribute to:</t>
  </si>
  <si>
    <t>Financial Highlight (unaudited)  (in Canadian $ millions)</t>
  </si>
  <si>
    <t>Consolidated Statements of Earnings  (in Canadian $ millions)</t>
  </si>
  <si>
    <t>Consolidated Balance Sheets</t>
  </si>
  <si>
    <t>Consolidated Statements of Changes in Equity</t>
  </si>
  <si>
    <t>Disposal of investment in subsidiary</t>
  </si>
  <si>
    <t>Recognition of non-controlling interest</t>
  </si>
  <si>
    <t>Share-based payments (note 22)</t>
  </si>
  <si>
    <t>Accumulated other comprehensive loss comprehensive loss</t>
  </si>
  <si>
    <t>Total shareholders’ equity</t>
  </si>
  <si>
    <t>Insurance revenue</t>
  </si>
  <si>
    <t>Financial item (CAD $ millions)</t>
  </si>
  <si>
    <t>Insurance service expenses</t>
  </si>
  <si>
    <t>Operating and administrative expenses</t>
  </si>
  <si>
    <t>Cash and cash equivalents</t>
  </si>
  <si>
    <t>Debentures and other debt instruments</t>
  </si>
  <si>
    <t>Operating cash flow</t>
  </si>
  <si>
    <t>Canada Life</t>
  </si>
  <si>
    <t>Financial ratio analysis</t>
  </si>
  <si>
    <t>Net profit margin</t>
  </si>
  <si>
    <t>Return on assets, ROA</t>
  </si>
  <si>
    <t>Return on shareholders’ equity, ROE</t>
  </si>
  <si>
    <t>Return on total equity</t>
  </si>
  <si>
    <t>Insurance service margin</t>
  </si>
  <si>
    <t>Insurance service expense ratio</t>
  </si>
  <si>
    <t>Implied reinsurance expense ratio</t>
  </si>
  <si>
    <t>Operating expense ratio</t>
  </si>
  <si>
    <t>Combined operating burden</t>
  </si>
  <si>
    <t>Liabilities-to-assets ratio</t>
  </si>
  <si>
    <t>Equity-to-assets ratio</t>
  </si>
  <si>
    <t>Debt-to-shareholders’ equity</t>
  </si>
  <si>
    <t>Debt-to-total-equity</t>
  </si>
  <si>
    <t>Financial leverage ratio</t>
  </si>
  <si>
    <t>Cash-to-assets ratio</t>
  </si>
  <si>
    <t>Cash-to-debt ratio</t>
  </si>
  <si>
    <t>Operating cash-flow margin</t>
  </si>
  <si>
    <t>Operating cash flow to net earnings</t>
  </si>
  <si>
    <t>Operating cash flow return on assets</t>
  </si>
  <si>
    <t>Dividend payout ratio</t>
  </si>
  <si>
    <t>Cash dividend coverage</t>
  </si>
  <si>
    <t>Dividends-to-equity ratio</t>
  </si>
  <si>
    <t>CSM-to-insurance-revenue ratio</t>
  </si>
  <si>
    <t>CSM-to-equity ratio</t>
  </si>
  <si>
    <t>CSM growth rate</t>
  </si>
  <si>
    <t>LICAT year-over-year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</si>
</sst>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8" x14ac:knownFonts="1">
    <font>
      <sz val="11"/>
      <color theme="1"/>
      <name val="Aptos Narrow"/>
      <family val="2"/>
      <scheme val="minor"/>
    </font>
    <font>
      <b/>
      <sz val="11"/>
      <color theme="1"/>
      <name val="Aptos Narrow"/>
      <family val="2"/>
      <scheme val="minor"/>
    </font>
    <font>
      <sz val="9"/>
      <color indexed="81"/>
      <name val="Tahoma"/>
      <charset val="1"/>
    </font>
    <font>
      <sz val="11"/>
      <color theme="1"/>
      <name val="Aptos Narrow"/>
      <family val="2"/>
      <scheme val="minor"/>
    </font>
    <font>
      <b/>
      <sz val="9"/>
      <color indexed="81"/>
      <name val="Tahoma"/>
      <charset val="1"/>
    </font>
    <font>
      <b/>
      <sz val="9"/>
      <color indexed="81"/>
      <name val="Tahoma"/>
      <family val="2"/>
    </font>
    <font>
      <sz val="9"/>
      <color indexed="81"/>
      <name val="Tahoma"/>
      <family val="2"/>
    </font>
    <font>
      <sz val="11"/>
      <color theme="1"/>
      <name val="Segoe UI"/>
      <family val="2"/>
    </font>
  </fonts>
  <fills count="2">
    <fill>
      <patternFill patternType="none"/>
    </fill>
    <fill>
      <patternFill patternType="gray125"/>
    </fill>
  </fills>
  <borders count="6">
    <border>
      <left/>
      <right/>
      <top/>
      <bottom/>
      <diagonal/>
    </border>
    <border>
      <left/>
      <right/>
      <top/>
      <bottom style="thin">
        <color indexed="64"/>
      </bottom>
      <diagonal/>
    </border>
    <border>
      <left/>
      <right/>
      <top/>
      <bottom style="double">
        <color indexed="64"/>
      </bottom>
      <diagonal/>
    </border>
    <border>
      <left/>
      <right/>
      <top style="thin">
        <color indexed="64"/>
      </top>
      <bottom style="double">
        <color indexed="64"/>
      </bottom>
      <diagonal/>
    </border>
    <border>
      <left/>
      <right/>
      <top style="thin">
        <color indexed="64"/>
      </top>
      <bottom style="thin">
        <color indexed="64"/>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9" fontId="3" fillId="0" borderId="0" applyFont="0" applyFill="0" applyBorder="0" applyAlignment="0" applyProtection="0"/>
  </cellStyleXfs>
  <cellXfs count="23">
    <xf numFmtId="0" fontId="0" fillId="0" borderId="0" xfId="0"/>
    <xf numFmtId="164" fontId="0" fillId="0" borderId="0" xfId="0" applyNumberFormat="1"/>
    <xf numFmtId="0" fontId="1" fillId="0" borderId="0" xfId="0" applyFont="1"/>
    <xf numFmtId="3" fontId="0" fillId="0" borderId="0" xfId="0" applyNumberFormat="1" applyAlignment="1">
      <alignment horizontal="right"/>
    </xf>
    <xf numFmtId="0" fontId="0" fillId="0" borderId="0" xfId="0" applyAlignment="1">
      <alignment horizontal="right"/>
    </xf>
    <xf numFmtId="0" fontId="0" fillId="0" borderId="1" xfId="0" applyBorder="1"/>
    <xf numFmtId="0" fontId="0" fillId="0" borderId="2" xfId="0" applyBorder="1"/>
    <xf numFmtId="0" fontId="0" fillId="0" borderId="1" xfId="0" applyBorder="1" applyAlignment="1">
      <alignment horizontal="right"/>
    </xf>
    <xf numFmtId="3" fontId="0" fillId="0" borderId="3" xfId="0" applyNumberFormat="1" applyBorder="1" applyAlignment="1">
      <alignment horizontal="right"/>
    </xf>
    <xf numFmtId="0" fontId="0" fillId="0" borderId="3" xfId="0" applyBorder="1" applyAlignment="1">
      <alignment horizontal="right"/>
    </xf>
    <xf numFmtId="164" fontId="0" fillId="0" borderId="1" xfId="0" applyNumberFormat="1" applyBorder="1"/>
    <xf numFmtId="164" fontId="0" fillId="0" borderId="3" xfId="0" applyNumberFormat="1" applyBorder="1"/>
    <xf numFmtId="164" fontId="0" fillId="0" borderId="4" xfId="0" applyNumberFormat="1" applyBorder="1"/>
    <xf numFmtId="9" fontId="0" fillId="0" borderId="0" xfId="0" applyNumberFormat="1"/>
    <xf numFmtId="0" fontId="1" fillId="0" borderId="1" xfId="0" applyFont="1" applyBorder="1"/>
    <xf numFmtId="164" fontId="0" fillId="0" borderId="0" xfId="0" applyNumberFormat="1" applyAlignment="1">
      <alignment horizontal="right"/>
    </xf>
    <xf numFmtId="164" fontId="0" fillId="0" borderId="1" xfId="0" applyNumberFormat="1" applyBorder="1" applyAlignment="1">
      <alignment horizontal="right"/>
    </xf>
    <xf numFmtId="164" fontId="0" fillId="0" borderId="3" xfId="0" applyNumberFormat="1" applyBorder="1" applyAlignment="1">
      <alignment horizontal="right"/>
    </xf>
    <xf numFmtId="0" fontId="0" fillId="0" borderId="3" xfId="0" applyBorder="1"/>
    <xf numFmtId="10" fontId="0" fillId="0" borderId="0" xfId="0" applyNumberFormat="1"/>
    <xf numFmtId="9" fontId="0" fillId="0" borderId="0" xfId="1" applyFont="1"/>
    <xf numFmtId="0" fontId="7" fillId="0" borderId="5" xfId="0" applyFont="1" applyBorder="1" applyAlignment="1">
      <alignment vertical="center" wrapText="1"/>
    </xf>
    <xf numFmtId="10" fontId="0" fillId="0" borderId="0" xfId="1" applyNumberFormat="1" applyFont="1"/>
  </cellXfs>
  <cellStyles count="2">
    <cellStyle name="Normal" xfId="0" builtinId="0"/>
    <cellStyle name="Percent" xfId="1" builtinId="5"/>
  </cellStyles>
  <dxfs count="75">
    <dxf>
      <numFmt numFmtId="164" formatCode="&quot;$&quot;#,##0"/>
    </dxf>
    <dxf>
      <numFmt numFmtId="164" formatCode="&quot;$&quot;#,##0"/>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164" formatCode="&quot;$&quot;#,##0"/>
    </dxf>
    <dxf>
      <numFmt numFmtId="164"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6B56A-ED7A-4BC5-86FB-BC86DC51FC56}" name="CL2025_Financial_Highlights" displayName="CL2025_Financial_Highlights" ref="A2:C21" totalsRowShown="0">
  <autoFilter ref="A2:C21" xr:uid="{32C6B56A-ED7A-4BC5-86FB-BC86DC51FC56}"/>
  <tableColumns count="3">
    <tableColumn id="1" xr3:uid="{5C2C5EAF-8FD7-4548-B79E-158A94C36CEC}" name="Financial Highlights (Unaudited) (in Canadian $ Million)" dataDxfId="70"/>
    <tableColumn id="4" xr3:uid="{F845F529-FD47-4771-A575-3ECAFBD90817}" name="2025" dataDxfId="69"/>
    <tableColumn id="6" xr3:uid="{2D1DF53C-C68C-4325-9449-0D2B4F3F7A6D}" name="2024" dataDxfId="6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C03A14-B5FE-4A4C-A2DD-6F7C99CBB8B6}" name="CL2025_Consolidated_Statements_Of_Earnings" displayName="CL2025_Consolidated_Statements_Of_Earnings" ref="A24:C54" totalsRowShown="0">
  <autoFilter ref="A24:C54" xr:uid="{34C03A14-B5FE-4A4C-A2DD-6F7C99CBB8B6}"/>
  <tableColumns count="3">
    <tableColumn id="1" xr3:uid="{AF140A9C-2544-462A-8D05-83FCA92FCC29}" name="Consolidated Statements Of Earnings (in Canadian $ Million)" dataDxfId="67"/>
    <tableColumn id="3" xr3:uid="{16B7134F-532D-42E5-B2C1-83A349FA9ED6}" name="2025" dataDxfId="66"/>
    <tableColumn id="5" xr3:uid="{A04CC424-6000-4365-8CE5-358C2FA21877}" name="2024" dataDxfId="6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D7B52-E650-435A-863F-F68E89A607E8}" name="CL2025_Consolidated_Balance_Sheet" displayName="CL2025_Consolidated_Balance_Sheet" ref="A58:C106" totalsRowShown="0">
  <autoFilter ref="A58:C106" xr:uid="{FABD7B52-E650-435A-863F-F68E89A607E8}"/>
  <tableColumns count="3">
    <tableColumn id="1" xr3:uid="{D6729C5B-6996-4AD6-921A-4FCB66DC5B45}" name="Consolidated Balance Sheet  (in Canadian $ Million)" dataDxfId="64"/>
    <tableColumn id="3" xr3:uid="{1B220B5B-DEB0-4054-AD07-3C5B3F8AACD1}" name="2025" dataDxfId="63"/>
    <tableColumn id="5" xr3:uid="{E50E6906-CAA9-42F6-9EB9-A1F697BB2F20}" name="20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F654234-2B8F-4830-BE0E-554991835BD9}" name="CL2025_Consolidated_Statements_Of_Change_In_Equity" displayName="CL2025_Consolidated_Statements_Of_Change_In_Equity" ref="A109:I117" totalsRowShown="0">
  <autoFilter ref="A109:I117" xr:uid="{CF654234-2B8F-4830-BE0E-554991835BD9}"/>
  <tableColumns count="9">
    <tableColumn id="1" xr3:uid="{C372BC7B-EDAA-425F-B029-CC348E8759F1}" name="Consolidated Statements of Change in Equity" dataDxfId="62"/>
    <tableColumn id="2" xr3:uid="{87A431C1-44DD-4CAE-8CF0-67ED9C3536FA}" name="Share Capital" dataDxfId="61"/>
    <tableColumn id="4" xr3:uid="{1ACAEC2D-550E-4F1E-899C-D23FDA3C7A2F}" name="Contributed Surplus" dataDxfId="60"/>
    <tableColumn id="6" xr3:uid="{DA9BD253-8ABA-4C4C-90D8-B886FCF7BB0C}" name="Accumulated Surplus" dataDxfId="59"/>
    <tableColumn id="8" xr3:uid="{35415082-274B-4DFF-B6E0-53920A2A9F6D}" name="Accumulated Other Comprehensive Income" dataDxfId="58"/>
    <tableColumn id="10" xr3:uid="{2F102C70-C964-49EB-A16F-A1842CC2B96F}" name="Total Shareholder's Equity" dataDxfId="57"/>
    <tableColumn id="12" xr3:uid="{ECFC45BF-2FD7-4257-A71D-CD62160491EA}" name="Non-controlling Interest" dataDxfId="56"/>
    <tableColumn id="14" xr3:uid="{E959836E-9965-4D14-BCC3-3BCC273F49C9}" name="Participating Account Surplus" dataDxfId="55"/>
    <tableColumn id="16" xr3:uid="{C57C220A-153E-480B-8F20-BD9766EBCC5D}" name="Total Equity" dataDxfId="5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AC487E-DBF0-4C56-AF4F-056F3601ED72}" name="CL2025_Consolidated_Statements_Of_Cash_Flow" displayName="CL2025_Consolidated_Statements_Of_Cash_Flow" ref="A121:C149" totalsRowShown="0">
  <autoFilter ref="A121:C149" xr:uid="{3AAC487E-DBF0-4C56-AF4F-056F3601ED72}"/>
  <tableColumns count="3">
    <tableColumn id="1" xr3:uid="{2F45C01F-02D6-4CB5-9364-F722A27B3859}" name="Consolidated Statements of Cash Flow" dataDxfId="53"/>
    <tableColumn id="3" xr3:uid="{712741C7-204F-4298-8050-873B208D5060}" name="2025"/>
    <tableColumn id="5" xr3:uid="{2534FEF1-3F52-460C-AB74-977F2325376E}" name="202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0062148-2C94-44FA-AA84-D3AF2950CAE1}" name="CL2024_Financial_Highlights" displayName="CL2024_Financial_Highlights" ref="A2:C21" totalsRowShown="0">
  <autoFilter ref="A2:C21" xr:uid="{80062148-2C94-44FA-AA84-D3AF2950CAE1}"/>
  <tableColumns count="3">
    <tableColumn id="1" xr3:uid="{A504AF7D-4077-4F75-AD8E-F00D66A4E1EB}" name="Financial Highlights (in Canadian $ millions)" dataDxfId="52"/>
    <tableColumn id="5" xr3:uid="{6DE21333-8B6D-493E-A3FB-12219341B858}" name="2024" dataDxfId="51"/>
    <tableColumn id="7" xr3:uid="{1D1F864D-619C-4D8B-BDCB-F9F994AD3F85}" name="20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2E5B2C2-C7D4-4C68-B8DF-B451C6AD2FA5}" name="CL2024_Consolidated_Statement_Of_Earnings" displayName="CL2024_Consolidated_Statement_Of_Earnings" ref="A24:C54" totalsRowShown="0">
  <autoFilter ref="A24:C54" xr:uid="{F2E5B2C2-C7D4-4C68-B8DF-B451C6AD2FA5}"/>
  <tableColumns count="3">
    <tableColumn id="1" xr3:uid="{B00DF7C4-46F0-426A-99DA-8CD1485C8167}" name="Consolidated Statements of Earnings (in Canadian $ millions)" dataDxfId="50"/>
    <tableColumn id="3" xr3:uid="{6DBC8D88-3782-41F5-8C7F-4912F53C3845}" name="2024" dataDxfId="49"/>
    <tableColumn id="5" xr3:uid="{0DA8B320-B9A4-43AB-B84E-C184D12EEBCE}" name="2023" dataDxfId="4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288B11-3956-44BF-B015-CDD67BF6122B}" name="CL2024_Consolidated_Balance_Sheet" displayName="CL2024_Consolidated_Balance_Sheet" ref="A57:C104" totalsRowShown="0">
  <autoFilter ref="A57:C104" xr:uid="{09288B11-3956-44BF-B015-CDD67BF6122B}"/>
  <tableColumns count="3">
    <tableColumn id="1" xr3:uid="{9A2A315A-17C4-44C5-839B-27077EDAFBE8}" name="Consolidated Balance Sheet  (in Canadian $ millions)" dataDxfId="47"/>
    <tableColumn id="3" xr3:uid="{AC35110F-0BC5-4C19-B333-64D500DD652D}" name="2024"/>
    <tableColumn id="5" xr3:uid="{FC18CAD8-EF52-4B84-B287-4440BF8988D1}" name="202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B36E1D-5C8B-415A-8BB2-72AC852DFE1F}" name="CL2024_Consolidated_Statements_Of_Changes_In_Equity" displayName="CL2024_Consolidated_Statements_Of_Changes_In_Equity" ref="A107:I115" totalsRowShown="0">
  <autoFilter ref="A107:I115" xr:uid="{95B36E1D-5C8B-415A-8BB2-72AC852DFE1F}"/>
  <tableColumns count="9">
    <tableColumn id="1" xr3:uid="{346EBBBA-D3E8-43C4-B112-84CFBA884811}" name="Consolidated Statements of Changes in Equity  (in Canadian $ millions)" dataDxfId="46"/>
    <tableColumn id="2" xr3:uid="{A3F2222E-550B-4C91-822F-4D93B86D0518}" name="Share capital" dataDxfId="45"/>
    <tableColumn id="4" xr3:uid="{5DE7CF1E-A17D-4E32-B7FB-FD3FCA7A27C6}" name="Contributed surplus" dataDxfId="44"/>
    <tableColumn id="6" xr3:uid="{7CD3F9B9-2C9F-423A-9B10-5566ED617B23}" name="Accumulated surplus" dataDxfId="43"/>
    <tableColumn id="8" xr3:uid="{81A55F20-6E2D-49CB-A777-7EA2FA186E54}" name="Accumulated other comprehensive income (loss)" dataDxfId="42"/>
    <tableColumn id="10" xr3:uid="{436743AE-2B63-4A1B-B86F-48A200522D06}" name="Total shareholder's equity" dataDxfId="41"/>
    <tableColumn id="12" xr3:uid="{185E9850-C6B0-4386-B196-713B0971812A}" name="Non-controlling interests" dataDxfId="40"/>
    <tableColumn id="14" xr3:uid="{F07A79B8-D988-4A89-BC52-58700AEF495C}" name="Participating account surplus" dataDxfId="39"/>
    <tableColumn id="16" xr3:uid="{DAC2842E-0699-4DFF-A5A2-CA0460B0936F}" name="Total equity" dataDxfId="3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72B3C60-F251-4571-AC34-BA109A0E39B4}" name="CL2024_Consolidated_Statements_Of_Cash_Flow" displayName="CL2024_Consolidated_Statements_Of_Cash_Flow" ref="A118:C147" totalsRowShown="0">
  <autoFilter ref="A118:C147" xr:uid="{872B3C60-F251-4571-AC34-BA109A0E39B4}"/>
  <tableColumns count="3">
    <tableColumn id="1" xr3:uid="{03DD1A9C-855C-4E1B-BC85-F1DA52E562A1}" name="Consolidated Statements of Cash Flow  (in Canadian $ millions)" dataDxfId="37"/>
    <tableColumn id="3" xr3:uid="{9F529541-D5F9-4E8A-9852-77076A9252D7}" name="2024" dataDxfId="36"/>
    <tableColumn id="5" xr3:uid="{D60C0FDC-FC22-4E62-9467-CDCB0E581960}" name="202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CA25C1-C846-4A7B-A2BF-C9448B60FB0D}" name="CL2023_Financial_Highlights" displayName="CL2023_Financial_Highlights" ref="A2:C21" totalsRowShown="0">
  <autoFilter ref="A2:C21" xr:uid="{AECA25C1-C846-4A7B-A2BF-C9448B60FB0D}"/>
  <tableColumns count="3">
    <tableColumn id="1" xr3:uid="{2FBD130F-2F76-40A4-8A35-F73D197CF679}" name="Financial Highlights (unaudited) (in Canadian $ millions)" dataDxfId="35"/>
    <tableColumn id="4" xr3:uid="{EB1CCD9F-222B-42FF-A665-B40808CDFA23}" name="2023" dataDxfId="34"/>
    <tableColumn id="6" xr3:uid="{606BD4DE-1AB4-4377-AD4C-304EEE364AE0}" name="2022" dataDxfId="33"/>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03F03B7-0B2F-429E-9099-05D4B79628EE}" name="CL2023_Consolidated_Statements_Of_Earnings" displayName="CL2023_Consolidated_Statements_Of_Earnings" ref="A23:C54" totalsRowShown="0">
  <autoFilter ref="A23:C54" xr:uid="{403F03B7-0B2F-429E-9099-05D4B79628EE}"/>
  <tableColumns count="3">
    <tableColumn id="1" xr3:uid="{348E9B7F-8015-4CEA-9CB7-F5A11E794924}" name="Consolidated Statements of Earnings (in Canadian $ millions)" dataDxfId="32"/>
    <tableColumn id="3" xr3:uid="{9CB5D784-9668-43E2-912F-CCC0C5A46AFC}" name="2023" dataDxfId="31"/>
    <tableColumn id="5" xr3:uid="{7DFA6E59-95B4-4F39-8D95-F85AC0C103B7}" name="2022" dataDxfId="30"/>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8294548-29F4-4247-8D91-46256870F255}" name="CL2023_Consolidated_Balance_Sheets" displayName="CL2023_Consolidated_Balance_Sheets" ref="A57:D105" totalsRowShown="0">
  <autoFilter ref="A57:D105" xr:uid="{C8294548-29F4-4247-8D91-46256870F255}"/>
  <tableColumns count="4">
    <tableColumn id="1" xr3:uid="{A77F868F-A01A-4E28-831C-123758FFEE1B}" name="Consolidated Balance Sheets (in Canadian $ millions)" dataDxfId="29"/>
    <tableColumn id="3" xr3:uid="{BF1169F7-EA41-4E34-B1BE-468D058EC001}" name="2023" dataDxfId="28"/>
    <tableColumn id="5" xr3:uid="{0DED70B6-5DBC-4722-9AEA-0F35DB477359}" name="2022" dataDxfId="27"/>
    <tableColumn id="7" xr3:uid="{391AF299-CDE1-44A4-94F3-25223ECFCF43}" name="2021" dataDxfId="26"/>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0BDDA1-0210-42C8-BA1E-98C8F4E39148}" name="CL2023_Consolidated_Statements_Of_Changes_In_Equity" displayName="CL2023_Consolidated_Statements_Of_Changes_In_Equity" ref="A108:I119" totalsRowShown="0">
  <autoFilter ref="A108:I119" xr:uid="{010BDDA1-0210-42C8-BA1E-98C8F4E39148}"/>
  <tableColumns count="9">
    <tableColumn id="1" xr3:uid="{12AD67BC-57B1-41C3-A7A2-ECD190ADFB8A}" name="Consolidated Statements of Changes in Equity (in Canadian $ millions)" dataDxfId="25"/>
    <tableColumn id="2" xr3:uid="{D69CD2BD-7405-43A8-B2F6-D33B29AE7319}" name="Share capital" dataDxfId="24"/>
    <tableColumn id="4" xr3:uid="{D7419A9F-70E7-4602-A940-77D76211462A}" name="Contributed surplus" dataDxfId="23"/>
    <tableColumn id="6" xr3:uid="{6F1EC460-0E36-4BAA-BD61-804EA1A7B604}" name="Accumulated surplus" dataDxfId="22"/>
    <tableColumn id="8" xr3:uid="{ECC52595-0035-4144-8E9B-C830D055A87F}" name="Accumulated other comprehensive income (loss)" dataDxfId="21"/>
    <tableColumn id="9" xr3:uid="{DD90BFCF-0719-4732-B663-A0F6DDCBB014}" name="Total shareholders' equity" dataDxfId="20"/>
    <tableColumn id="11" xr3:uid="{45A80F18-CA21-485E-9774-7188CBDBD23A}" name="Non-controlling interests" dataDxfId="19"/>
    <tableColumn id="13" xr3:uid="{5EFFD87C-8A6F-4E32-BC35-2981FB121A78}" name="Participating account surplus" dataDxfId="18"/>
    <tableColumn id="15" xr3:uid="{E2F54086-E050-49D8-8244-5234819E6F63}" name="Total equity" dataDxfId="17"/>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0ABDE2-BBC3-4908-AB0F-44D6EF66AED5}" name="CL2023_Consolidated_Statements_Of_Cash_Flows" displayName="CL2023_Consolidated_Statements_Of_Cash_Flows" ref="A122:C152" totalsRowShown="0">
  <autoFilter ref="A122:C152" xr:uid="{070ABDE2-BBC3-4908-AB0F-44D6EF66AED5}"/>
  <tableColumns count="3">
    <tableColumn id="1" xr3:uid="{7B75C2BC-A013-41C7-861B-9EDA9E0AE1BA}" name="Consolidated Statements of Cash Flows (in Canadian $ millions)" dataDxfId="16"/>
    <tableColumn id="5" xr3:uid="{D08EF108-C608-416D-A0FA-78700D08B198}" name="2023"/>
    <tableColumn id="7" xr3:uid="{0A748248-90C6-42D4-A30D-90D2E6522606}" name="202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A35DAB2-1EB1-4099-B43A-7BBB210BD1B2}" name="CL2022_Financial_Highlight" displayName="CL2022_Financial_Highlight" ref="A2:C26" totalsRowShown="0">
  <autoFilter ref="A2:C26" xr:uid="{DA35DAB2-1EB1-4099-B43A-7BBB210BD1B2}"/>
  <tableColumns count="3">
    <tableColumn id="1" xr3:uid="{742648AB-0CC3-4711-89DE-BEA31617073E}" name="Financial Highlight (unaudited)  (in Canadian $ millions)" dataDxfId="15"/>
    <tableColumn id="4" xr3:uid="{8EFD586F-8504-433C-ACA7-A80E443245D8}" name="2022"/>
    <tableColumn id="6" xr3:uid="{F3762B59-FF64-4412-994B-4F79CC8C4273}" name="2021"/>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352CFDF-76E1-4D3C-8C7B-7F57348B216F}" name="CL2022_Consolidated_Statements_Of_Earnings" displayName="CL2022_Consolidated_Statements_Of_Earnings" ref="A29:C63" totalsRowShown="0">
  <autoFilter ref="A29:C63" xr:uid="{D352CFDF-76E1-4D3C-8C7B-7F57348B216F}"/>
  <tableColumns count="3">
    <tableColumn id="1" xr3:uid="{E02CB553-D5D4-402A-8C54-8DE755972EFF}" name="Consolidated Statements of Earnings  (in Canadian $ millions)" dataDxfId="14"/>
    <tableColumn id="4" xr3:uid="{63FC9382-AFA6-415E-82F8-8CF40DE991D2}" name="2022" dataDxfId="13"/>
    <tableColumn id="6" xr3:uid="{75F17EC1-69D4-4F5D-8315-089CA34D666C}" name="2021"/>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B04493A-D9FF-4D74-A5D0-111BD2A4656C}" name="CL2022_Consolidated_Balance_Sheets" displayName="CL2022_Consolidated_Balance_Sheets" ref="A66:C112" totalsRowShown="0">
  <autoFilter ref="A66:C112" xr:uid="{BB04493A-D9FF-4D74-A5D0-111BD2A4656C}"/>
  <tableColumns count="3">
    <tableColumn id="1" xr3:uid="{893DB4C7-64EE-4ADA-8217-9192AD5B689E}" name="Consolidated Balance Sheets" dataDxfId="12"/>
    <tableColumn id="4" xr3:uid="{DFF048A5-755F-448B-87C0-4E919F682AF0}" name="2022"/>
    <tableColumn id="6" xr3:uid="{5DD01DB6-24AF-4D26-80A0-169FFD04A979}" name="202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5DB435-83EB-4E91-B08B-67EC402A3AFF}" name="CL2022_Consolidated_Statements_Of_Changes_In_Equity" displayName="CL2022_Consolidated_Statements_Of_Changes_In_Equity" ref="A115:I124" totalsRowShown="0">
  <autoFilter ref="A115:I124" xr:uid="{215DB435-83EB-4E91-B08B-67EC402A3AFF}"/>
  <tableColumns count="9">
    <tableColumn id="1" xr3:uid="{09504AB0-770E-4D43-ACD1-DE5F040CED87}" name="Consolidated Statements of Changes in Equity" dataDxfId="11"/>
    <tableColumn id="3" xr3:uid="{BFA1FFA7-6E3B-4F23-85D7-277A408FB401}" name="Share capital" dataDxfId="10"/>
    <tableColumn id="5" xr3:uid="{701F6E9A-D8E6-4794-950B-B6C0DCDFFB6C}" name="Contributed surplus" dataDxfId="9"/>
    <tableColumn id="7" xr3:uid="{C6BCA9CA-AA5E-4ECD-A8ED-3425059521DC}" name="Accumulated surplus" dataDxfId="8"/>
    <tableColumn id="9" xr3:uid="{C387DAE6-44DC-4C88-B247-97FF4BBC177F}" name="Accumulated other comprehensive loss comprehensive loss" dataDxfId="7"/>
    <tableColumn id="11" xr3:uid="{3D9F6865-2163-45E5-9E9F-FE1EFA6E0A4E}" name="Total shareholders’ equity" dataDxfId="6"/>
    <tableColumn id="13" xr3:uid="{A62F3586-FEAD-4757-955C-167BA489C2DA}" name="Non-controlling interests" dataDxfId="5"/>
    <tableColumn id="15" xr3:uid="{5EC6C0BE-4B74-4A04-B001-36C6B2FE1058}" name="Participating account surplus" dataDxfId="4"/>
    <tableColumn id="17" xr3:uid="{63AE17E1-9D3F-402A-8E50-6A25D991559F}" name="Total equity" dataDxfId="3"/>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95EA000-7795-40F0-80C9-309E26D34DB3}" name="CL2022_Consolidated_Statements_Of_Cash_Flows" displayName="CL2022_Consolidated_Statements_Of_Cash_Flows" ref="A127:C161" totalsRowShown="0">
  <autoFilter ref="A127:C161" xr:uid="{395EA000-7795-40F0-80C9-309E26D34DB3}"/>
  <tableColumns count="3">
    <tableColumn id="1" xr3:uid="{D9D5A221-D279-446F-84E7-045892C71C4C}" name="Consolidated Statements of Cash Flows (in Canadian $ millions)" dataDxfId="2"/>
    <tableColumn id="4" xr3:uid="{0B41E5F3-DDED-491F-B3FE-F07FAA1FC2F1}" name="2022" dataDxfId="1"/>
    <tableColumn id="6" xr3:uid="{597E5080-187F-4732-87DD-297275C991F1}" name="2021" dataDxfId="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2B2A73A-1EEC-46AC-91EE-7CD6FB19EA63}" name="CL_Annual_Financial_Item" displayName="CL_Annual_Financial_Item" ref="A3:E18" totalsRowShown="0">
  <autoFilter ref="A3:E18" xr:uid="{62B2A73A-1EEC-46AC-91EE-7CD6FB19EA63}"/>
  <tableColumns count="5">
    <tableColumn id="1" xr3:uid="{C65EBD19-CB55-4FE0-9E64-CCC55F3C53D5}" name="Financial item (CAD $ millions)"/>
    <tableColumn id="2" xr3:uid="{64F0E65D-5B27-41C2-9D64-A1370C90CAE6}" name="2022" dataDxfId="74">
      <calculatedColumnFormula array="1">_xlfn.XLOOKUP(A4,CL2023_Financial_Highlights[[#All],[Financial Highlights (unaudited) (in Canadian $ millions)]],CL2023_Financial_Highlights[[#All],[2022]],"Not Found",0)</calculatedColumnFormula>
    </tableColumn>
    <tableColumn id="3" xr3:uid="{5DB1D296-8814-4B6A-9833-E4A1CCA5D2FA}" name="2023" dataDxfId="73">
      <calculatedColumnFormula array="1">_xlfn.XLOOKUP(A4,CL2023_Financial_Highlights[[#All],[Financial Highlights (unaudited) (in Canadian $ millions)]],CL2023_Financial_Highlights[[#All],[2023]],"Not Found",0)</calculatedColumnFormula>
    </tableColumn>
    <tableColumn id="4" xr3:uid="{59F5E5CB-387A-45BC-B330-F894B4F6DE82}" name="2024" dataDxfId="72">
      <calculatedColumnFormula array="1">_xlfn.XLOOKUP(A4,CL2024_Financial_Highlights[[#All],[Financial Highlights (in Canadian $ millions)]],CL2024_Financial_Highlights[[#All],[2024]],"Not Found",0)</calculatedColumnFormula>
    </tableColumn>
    <tableColumn id="5" xr3:uid="{553985D8-0F6B-4CAB-A4A1-B67873C194FD}" name="2025" dataDxfId="71">
      <calculatedColumnFormula array="1">_xlfn.XLOOKUP(A4,CL2025_Financial_Highlights[[#All],[Financial Highlights (Unaudited) (in Canadian $ Million)]],CL2025_Financial_Highlights[[#All],[2025]],"Not Found",0)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5" Type="http://schemas.openxmlformats.org/officeDocument/2006/relationships/table" Target="../tables/table15.xml"/><Relationship Id="rId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 Id="rId5" Type="http://schemas.openxmlformats.org/officeDocument/2006/relationships/table" Target="../tables/table20.xml"/><Relationship Id="rId4"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5D32-C32B-46D8-AAE3-E026189F450B}">
  <dimension ref="A2:I149"/>
  <sheetViews>
    <sheetView topLeftCell="A121" workbookViewId="0">
      <selection activeCell="A15" sqref="A15"/>
    </sheetView>
  </sheetViews>
  <sheetFormatPr defaultRowHeight="14.5" x14ac:dyDescent="0.35"/>
  <cols>
    <col min="1" max="1" width="72.6328125" bestFit="1" customWidth="1"/>
    <col min="2" max="2" width="14.36328125" bestFit="1" customWidth="1"/>
    <col min="3" max="3" width="20.1796875" bestFit="1" customWidth="1"/>
    <col min="4" max="4" width="21.26953125" bestFit="1" customWidth="1"/>
    <col min="5" max="5" width="40.08984375" bestFit="1" customWidth="1"/>
    <col min="6" max="6" width="25" bestFit="1" customWidth="1"/>
    <col min="7" max="7" width="23.08984375" bestFit="1" customWidth="1"/>
    <col min="8" max="8" width="28.26953125" bestFit="1" customWidth="1"/>
    <col min="9" max="9" width="12.81640625" bestFit="1" customWidth="1"/>
    <col min="10" max="16" width="11.7265625" bestFit="1" customWidth="1"/>
  </cols>
  <sheetData>
    <row r="2" spans="1:3" x14ac:dyDescent="0.35">
      <c r="A2" t="s">
        <v>184</v>
      </c>
      <c r="B2" t="s">
        <v>182</v>
      </c>
      <c r="C2" t="s">
        <v>183</v>
      </c>
    </row>
    <row r="3" spans="1:3" x14ac:dyDescent="0.35">
      <c r="A3" s="2" t="s">
        <v>0</v>
      </c>
      <c r="B3" s="1"/>
      <c r="C3" s="1"/>
    </row>
    <row r="4" spans="1:3" x14ac:dyDescent="0.35">
      <c r="A4" t="s">
        <v>1</v>
      </c>
      <c r="B4" s="1">
        <v>42</v>
      </c>
      <c r="C4" s="1">
        <v>107</v>
      </c>
    </row>
    <row r="5" spans="1:3" x14ac:dyDescent="0.35">
      <c r="A5" t="s">
        <v>2</v>
      </c>
      <c r="B5" s="10">
        <v>2724</v>
      </c>
      <c r="C5" s="10">
        <v>3140</v>
      </c>
    </row>
    <row r="6" spans="1:3" x14ac:dyDescent="0.35">
      <c r="A6" s="14" t="s">
        <v>3</v>
      </c>
      <c r="B6" s="10">
        <v>2766</v>
      </c>
      <c r="C6" s="10">
        <v>3247</v>
      </c>
    </row>
    <row r="7" spans="1:3" x14ac:dyDescent="0.35">
      <c r="A7" s="2"/>
      <c r="B7" s="1"/>
      <c r="C7" s="1"/>
    </row>
    <row r="8" spans="1:3" x14ac:dyDescent="0.35">
      <c r="A8" s="2" t="s">
        <v>4</v>
      </c>
      <c r="B8" s="1">
        <v>3450</v>
      </c>
      <c r="C8" s="1">
        <v>3258</v>
      </c>
    </row>
    <row r="9" spans="1:3" x14ac:dyDescent="0.35">
      <c r="A9" s="2" t="s">
        <v>5</v>
      </c>
      <c r="B9" s="1">
        <v>603</v>
      </c>
      <c r="C9" s="1">
        <v>1015</v>
      </c>
    </row>
    <row r="10" spans="1:3" x14ac:dyDescent="0.35">
      <c r="A10" s="14" t="s">
        <v>6</v>
      </c>
      <c r="B10" s="10">
        <v>3016</v>
      </c>
      <c r="C10" s="10">
        <v>2853</v>
      </c>
    </row>
    <row r="11" spans="1:3" x14ac:dyDescent="0.35">
      <c r="A11" s="2"/>
      <c r="B11" s="1"/>
      <c r="C11" s="1"/>
    </row>
    <row r="12" spans="1:3" x14ac:dyDescent="0.35">
      <c r="A12" s="2" t="s">
        <v>7</v>
      </c>
      <c r="B12" s="1">
        <v>505652</v>
      </c>
      <c r="C12" s="1">
        <v>461204</v>
      </c>
    </row>
    <row r="13" spans="1:3" x14ac:dyDescent="0.35">
      <c r="A13" s="2" t="s">
        <v>202</v>
      </c>
      <c r="B13" s="1">
        <v>529301</v>
      </c>
      <c r="C13" s="1">
        <v>469722</v>
      </c>
    </row>
    <row r="14" spans="1:3" x14ac:dyDescent="0.35">
      <c r="A14" s="2" t="s">
        <v>203</v>
      </c>
      <c r="B14" s="1">
        <v>723435</v>
      </c>
      <c r="C14" s="1">
        <v>654853</v>
      </c>
    </row>
    <row r="15" spans="1:3" x14ac:dyDescent="0.35">
      <c r="A15" s="2" t="s">
        <v>8</v>
      </c>
      <c r="B15" s="1">
        <v>13494</v>
      </c>
      <c r="C15" s="1">
        <v>13243</v>
      </c>
    </row>
    <row r="16" spans="1:3" x14ac:dyDescent="0.35">
      <c r="A16" s="2"/>
      <c r="B16" s="1"/>
      <c r="C16" s="1"/>
    </row>
    <row r="17" spans="1:3" x14ac:dyDescent="0.35">
      <c r="A17" t="s">
        <v>9</v>
      </c>
      <c r="B17" s="1">
        <v>3082</v>
      </c>
      <c r="C17" s="1">
        <v>3043</v>
      </c>
    </row>
    <row r="18" spans="1:3" x14ac:dyDescent="0.35">
      <c r="A18" t="s">
        <v>10</v>
      </c>
      <c r="B18" s="1" t="s">
        <v>11</v>
      </c>
      <c r="C18" s="1">
        <v>10</v>
      </c>
    </row>
    <row r="19" spans="1:3" x14ac:dyDescent="0.35">
      <c r="A19" t="s">
        <v>12</v>
      </c>
      <c r="B19" s="1">
        <v>20938</v>
      </c>
      <c r="C19" s="1">
        <v>20909</v>
      </c>
    </row>
    <row r="20" spans="1:3" x14ac:dyDescent="0.35">
      <c r="A20" s="2" t="s">
        <v>13</v>
      </c>
      <c r="B20" s="1">
        <v>24020</v>
      </c>
      <c r="C20" s="1">
        <v>23962</v>
      </c>
    </row>
    <row r="21" spans="1:3" x14ac:dyDescent="0.35">
      <c r="A21" s="2" t="s">
        <v>204</v>
      </c>
      <c r="B21" s="13">
        <v>1.28</v>
      </c>
      <c r="C21" s="13">
        <v>1.3</v>
      </c>
    </row>
    <row r="24" spans="1:3" x14ac:dyDescent="0.35">
      <c r="A24" t="s">
        <v>185</v>
      </c>
      <c r="B24" s="1" t="s">
        <v>182</v>
      </c>
      <c r="C24" s="1" t="s">
        <v>183</v>
      </c>
    </row>
    <row r="25" spans="1:3" x14ac:dyDescent="0.35">
      <c r="A25" s="2" t="s">
        <v>4</v>
      </c>
      <c r="B25" s="1"/>
      <c r="C25" s="1"/>
    </row>
    <row r="26" spans="1:3" x14ac:dyDescent="0.35">
      <c r="A26" t="s">
        <v>240</v>
      </c>
      <c r="B26" s="1">
        <v>22131</v>
      </c>
      <c r="C26" s="1">
        <v>21007</v>
      </c>
    </row>
    <row r="27" spans="1:3" x14ac:dyDescent="0.35">
      <c r="A27" t="s">
        <v>242</v>
      </c>
      <c r="B27" s="1">
        <v>-17002</v>
      </c>
      <c r="C27" s="1">
        <v>-16165</v>
      </c>
    </row>
    <row r="28" spans="1:3" x14ac:dyDescent="0.35">
      <c r="A28" t="s">
        <v>14</v>
      </c>
      <c r="B28" s="10">
        <v>-1679</v>
      </c>
      <c r="C28" s="10">
        <v>-1584</v>
      </c>
    </row>
    <row r="29" spans="1:3" ht="15" thickBot="1" x14ac:dyDescent="0.4">
      <c r="B29" s="11">
        <v>3450</v>
      </c>
      <c r="C29" s="11">
        <v>3258</v>
      </c>
    </row>
    <row r="30" spans="1:3" ht="15" thickTop="1" x14ac:dyDescent="0.35">
      <c r="A30" s="2" t="s">
        <v>15</v>
      </c>
      <c r="B30" s="1"/>
      <c r="C30" s="1"/>
    </row>
    <row r="31" spans="1:3" x14ac:dyDescent="0.35">
      <c r="A31" t="s">
        <v>16</v>
      </c>
      <c r="B31" s="1">
        <v>5837</v>
      </c>
      <c r="C31" s="1">
        <v>5719</v>
      </c>
    </row>
    <row r="32" spans="1:3" x14ac:dyDescent="0.35">
      <c r="A32" t="s">
        <v>17</v>
      </c>
      <c r="B32" s="10">
        <v>1328</v>
      </c>
      <c r="C32" s="10">
        <v>1280</v>
      </c>
    </row>
    <row r="33" spans="1:3" x14ac:dyDescent="0.35">
      <c r="B33" s="1">
        <v>7165</v>
      </c>
      <c r="C33" s="1">
        <v>6999</v>
      </c>
    </row>
    <row r="34" spans="1:3" x14ac:dyDescent="0.35">
      <c r="A34" t="s">
        <v>18</v>
      </c>
      <c r="B34" s="1">
        <v>-6116</v>
      </c>
      <c r="C34" s="1">
        <v>-5851</v>
      </c>
    </row>
    <row r="35" spans="1:3" x14ac:dyDescent="0.35">
      <c r="A35" t="s">
        <v>19</v>
      </c>
      <c r="B35" s="1">
        <v>-303</v>
      </c>
      <c r="C35" s="1">
        <v>26</v>
      </c>
    </row>
    <row r="36" spans="1:3" x14ac:dyDescent="0.35">
      <c r="A36" t="s">
        <v>20</v>
      </c>
      <c r="B36" s="10">
        <v>-143</v>
      </c>
      <c r="C36" s="10">
        <v>-159</v>
      </c>
    </row>
    <row r="37" spans="1:3" x14ac:dyDescent="0.35">
      <c r="B37" s="1">
        <v>603</v>
      </c>
      <c r="C37" s="1">
        <v>1015</v>
      </c>
    </row>
    <row r="38" spans="1:3" x14ac:dyDescent="0.35">
      <c r="A38" t="s">
        <v>21</v>
      </c>
      <c r="B38" s="1"/>
      <c r="C38" s="1"/>
    </row>
    <row r="39" spans="1:3" x14ac:dyDescent="0.35">
      <c r="A39" t="s">
        <v>16</v>
      </c>
      <c r="B39" s="1">
        <v>5044</v>
      </c>
      <c r="C39" s="1">
        <v>6828</v>
      </c>
    </row>
    <row r="40" spans="1:3" x14ac:dyDescent="0.35">
      <c r="A40" t="s">
        <v>18</v>
      </c>
      <c r="B40" s="1">
        <v>-5044</v>
      </c>
      <c r="C40" s="1">
        <v>-6828</v>
      </c>
    </row>
    <row r="41" spans="1:3" x14ac:dyDescent="0.35">
      <c r="B41" s="1" t="s">
        <v>22</v>
      </c>
      <c r="C41" s="1" t="s">
        <v>22</v>
      </c>
    </row>
    <row r="42" spans="1:3" x14ac:dyDescent="0.35">
      <c r="A42" s="2" t="s">
        <v>23</v>
      </c>
      <c r="B42" s="1"/>
      <c r="C42" s="1"/>
    </row>
    <row r="43" spans="1:3" x14ac:dyDescent="0.35">
      <c r="A43" t="s">
        <v>6</v>
      </c>
      <c r="B43" s="1">
        <v>3016</v>
      </c>
      <c r="C43" s="1">
        <v>2853</v>
      </c>
    </row>
    <row r="44" spans="1:3" x14ac:dyDescent="0.35">
      <c r="A44" t="s">
        <v>243</v>
      </c>
      <c r="B44" s="1">
        <v>-3408</v>
      </c>
      <c r="C44" s="1">
        <v>-3088</v>
      </c>
    </row>
    <row r="45" spans="1:3" x14ac:dyDescent="0.35">
      <c r="A45" t="s">
        <v>24</v>
      </c>
      <c r="B45" s="1">
        <v>-194</v>
      </c>
      <c r="C45" s="1">
        <v>-185</v>
      </c>
    </row>
    <row r="46" spans="1:3" x14ac:dyDescent="0.35">
      <c r="A46" t="s">
        <v>25</v>
      </c>
      <c r="B46" s="1">
        <v>-107</v>
      </c>
      <c r="C46" s="1">
        <v>-105</v>
      </c>
    </row>
    <row r="47" spans="1:3" x14ac:dyDescent="0.35">
      <c r="A47" t="s">
        <v>26</v>
      </c>
      <c r="B47" s="1">
        <v>-346</v>
      </c>
      <c r="C47" s="1">
        <v>-49</v>
      </c>
    </row>
    <row r="48" spans="1:3" x14ac:dyDescent="0.35">
      <c r="A48" s="2" t="s">
        <v>27</v>
      </c>
      <c r="B48" s="1">
        <v>3014</v>
      </c>
      <c r="C48" s="1">
        <v>3699</v>
      </c>
    </row>
    <row r="49" spans="1:3" x14ac:dyDescent="0.35">
      <c r="A49" t="s">
        <v>28</v>
      </c>
      <c r="B49" s="1">
        <v>248</v>
      </c>
      <c r="C49" s="1">
        <v>455</v>
      </c>
    </row>
    <row r="50" spans="1:3" x14ac:dyDescent="0.35">
      <c r="A50" s="2" t="s">
        <v>29</v>
      </c>
      <c r="B50" s="1">
        <v>2766</v>
      </c>
      <c r="C50" s="1">
        <v>3244</v>
      </c>
    </row>
    <row r="51" spans="1:3" x14ac:dyDescent="0.35">
      <c r="A51" t="s">
        <v>30</v>
      </c>
      <c r="B51" s="1" t="s">
        <v>22</v>
      </c>
      <c r="C51" s="1">
        <v>-3</v>
      </c>
    </row>
    <row r="52" spans="1:3" x14ac:dyDescent="0.35">
      <c r="A52" s="2" t="s">
        <v>3</v>
      </c>
      <c r="B52" s="1">
        <v>2766</v>
      </c>
      <c r="C52" s="1">
        <v>3247</v>
      </c>
    </row>
    <row r="53" spans="1:3" x14ac:dyDescent="0.35">
      <c r="A53" t="s">
        <v>31</v>
      </c>
      <c r="B53" s="1">
        <v>42</v>
      </c>
      <c r="C53" s="1">
        <v>107</v>
      </c>
    </row>
    <row r="54" spans="1:3" x14ac:dyDescent="0.35">
      <c r="A54" s="2" t="s">
        <v>32</v>
      </c>
      <c r="B54" s="1">
        <v>2724</v>
      </c>
      <c r="C54" s="1">
        <v>3140</v>
      </c>
    </row>
    <row r="58" spans="1:3" x14ac:dyDescent="0.35">
      <c r="A58" t="s">
        <v>186</v>
      </c>
      <c r="B58" t="s">
        <v>182</v>
      </c>
      <c r="C58" t="s">
        <v>183</v>
      </c>
    </row>
    <row r="59" spans="1:3" x14ac:dyDescent="0.35">
      <c r="A59" s="2" t="s">
        <v>105</v>
      </c>
    </row>
    <row r="60" spans="1:3" x14ac:dyDescent="0.35">
      <c r="A60" t="s">
        <v>244</v>
      </c>
      <c r="B60" s="1">
        <v>4679</v>
      </c>
      <c r="C60" s="1">
        <v>4522</v>
      </c>
    </row>
    <row r="61" spans="1:3" x14ac:dyDescent="0.35">
      <c r="A61" t="s">
        <v>34</v>
      </c>
      <c r="B61" s="1">
        <v>104567</v>
      </c>
      <c r="C61" s="1">
        <v>100863</v>
      </c>
    </row>
    <row r="62" spans="1:3" x14ac:dyDescent="0.35">
      <c r="A62" t="s">
        <v>35</v>
      </c>
      <c r="B62" s="1">
        <v>26009</v>
      </c>
      <c r="C62" s="1">
        <v>25477</v>
      </c>
    </row>
    <row r="63" spans="1:3" x14ac:dyDescent="0.35">
      <c r="A63" t="s">
        <v>36</v>
      </c>
      <c r="B63" s="1">
        <v>16990</v>
      </c>
      <c r="C63" s="1">
        <v>14794</v>
      </c>
    </row>
    <row r="64" spans="1:3" x14ac:dyDescent="0.35">
      <c r="A64" t="s">
        <v>37</v>
      </c>
      <c r="B64" s="10">
        <v>8277</v>
      </c>
      <c r="C64" s="10">
        <v>8235</v>
      </c>
    </row>
    <row r="65" spans="1:3" x14ac:dyDescent="0.35">
      <c r="B65" s="1">
        <v>160522</v>
      </c>
      <c r="C65" s="1">
        <v>153891</v>
      </c>
    </row>
    <row r="66" spans="1:3" x14ac:dyDescent="0.35">
      <c r="C66" s="1"/>
    </row>
    <row r="67" spans="1:3" x14ac:dyDescent="0.35">
      <c r="A67" t="s">
        <v>38</v>
      </c>
      <c r="B67" s="1">
        <v>1256</v>
      </c>
      <c r="C67" s="1">
        <v>858</v>
      </c>
    </row>
    <row r="68" spans="1:3" x14ac:dyDescent="0.35">
      <c r="A68" t="s">
        <v>39</v>
      </c>
      <c r="B68" s="1">
        <v>6399</v>
      </c>
      <c r="C68" s="1">
        <v>6544</v>
      </c>
    </row>
    <row r="69" spans="1:3" x14ac:dyDescent="0.35">
      <c r="A69" t="s">
        <v>40</v>
      </c>
      <c r="B69" s="1">
        <v>6905</v>
      </c>
      <c r="C69" s="1">
        <v>6827</v>
      </c>
    </row>
    <row r="70" spans="1:3" x14ac:dyDescent="0.35">
      <c r="A70" t="s">
        <v>41</v>
      </c>
      <c r="B70" s="1">
        <v>2983</v>
      </c>
      <c r="C70" s="1">
        <v>2866</v>
      </c>
    </row>
    <row r="71" spans="1:3" x14ac:dyDescent="0.35">
      <c r="A71" t="s">
        <v>42</v>
      </c>
      <c r="B71" s="1">
        <v>1290</v>
      </c>
      <c r="C71" s="1">
        <v>1458</v>
      </c>
    </row>
    <row r="72" spans="1:3" x14ac:dyDescent="0.35">
      <c r="A72" t="s">
        <v>43</v>
      </c>
      <c r="B72" s="1">
        <v>641</v>
      </c>
      <c r="C72" s="1">
        <v>589</v>
      </c>
    </row>
    <row r="73" spans="1:3" x14ac:dyDescent="0.35">
      <c r="A73" t="s">
        <v>44</v>
      </c>
      <c r="B73" s="1">
        <v>321</v>
      </c>
      <c r="C73" s="1">
        <v>277</v>
      </c>
    </row>
    <row r="74" spans="1:3" x14ac:dyDescent="0.35">
      <c r="A74" t="s">
        <v>45</v>
      </c>
      <c r="B74" s="1">
        <v>3926</v>
      </c>
      <c r="C74" s="1">
        <v>3704</v>
      </c>
    </row>
    <row r="75" spans="1:3" x14ac:dyDescent="0.35">
      <c r="A75" t="s">
        <v>46</v>
      </c>
      <c r="B75" s="1">
        <v>2981</v>
      </c>
      <c r="C75" s="1">
        <v>2647</v>
      </c>
    </row>
    <row r="76" spans="1:3" x14ac:dyDescent="0.35">
      <c r="A76" t="s">
        <v>47</v>
      </c>
      <c r="B76" s="1">
        <v>315</v>
      </c>
      <c r="C76" s="1">
        <v>185</v>
      </c>
    </row>
    <row r="77" spans="1:3" x14ac:dyDescent="0.35">
      <c r="A77" t="s">
        <v>48</v>
      </c>
      <c r="B77" s="1">
        <v>1156</v>
      </c>
      <c r="C77" s="1">
        <v>958</v>
      </c>
    </row>
    <row r="78" spans="1:3" x14ac:dyDescent="0.35">
      <c r="A78" t="s">
        <v>49</v>
      </c>
      <c r="B78" s="10">
        <v>316957</v>
      </c>
      <c r="C78" s="10">
        <v>280400</v>
      </c>
    </row>
    <row r="79" spans="1:3" ht="15" thickBot="1" x14ac:dyDescent="0.4">
      <c r="A79" s="2" t="s">
        <v>7</v>
      </c>
      <c r="B79" s="11">
        <v>505652</v>
      </c>
      <c r="C79" s="11">
        <v>461204</v>
      </c>
    </row>
    <row r="80" spans="1:3" ht="15" thickTop="1" x14ac:dyDescent="0.35">
      <c r="A80" s="2"/>
      <c r="C80" s="1"/>
    </row>
    <row r="81" spans="1:3" x14ac:dyDescent="0.35">
      <c r="A81" s="2" t="s">
        <v>50</v>
      </c>
      <c r="B81" s="1"/>
      <c r="C81" s="1"/>
    </row>
    <row r="82" spans="1:3" x14ac:dyDescent="0.35">
      <c r="A82" t="s">
        <v>51</v>
      </c>
      <c r="B82" s="1">
        <v>147329</v>
      </c>
      <c r="C82" s="1">
        <v>140310</v>
      </c>
    </row>
    <row r="83" spans="1:3" x14ac:dyDescent="0.35">
      <c r="A83" t="s">
        <v>52</v>
      </c>
      <c r="B83" s="1">
        <v>4422</v>
      </c>
      <c r="C83" s="1">
        <v>4687</v>
      </c>
    </row>
    <row r="84" spans="1:3" x14ac:dyDescent="0.35">
      <c r="A84" t="s">
        <v>53</v>
      </c>
      <c r="B84" s="1">
        <v>787</v>
      </c>
      <c r="C84" s="1">
        <v>628</v>
      </c>
    </row>
    <row r="85" spans="1:3" x14ac:dyDescent="0.35">
      <c r="A85" t="s">
        <v>245</v>
      </c>
      <c r="B85" s="1">
        <v>827</v>
      </c>
      <c r="C85" s="1">
        <v>807</v>
      </c>
    </row>
    <row r="86" spans="1:3" x14ac:dyDescent="0.35">
      <c r="A86" t="s">
        <v>54</v>
      </c>
      <c r="B86" s="1">
        <v>1000</v>
      </c>
      <c r="C86" s="1">
        <v>1000</v>
      </c>
    </row>
    <row r="87" spans="1:3" x14ac:dyDescent="0.35">
      <c r="A87" t="s">
        <v>42</v>
      </c>
      <c r="B87" s="1">
        <v>2130</v>
      </c>
      <c r="C87" s="1">
        <v>2074</v>
      </c>
    </row>
    <row r="88" spans="1:3" x14ac:dyDescent="0.35">
      <c r="A88" t="s">
        <v>55</v>
      </c>
      <c r="B88" s="1">
        <v>2236</v>
      </c>
      <c r="C88" s="1">
        <v>2028</v>
      </c>
    </row>
    <row r="89" spans="1:3" x14ac:dyDescent="0.35">
      <c r="A89" t="s">
        <v>56</v>
      </c>
      <c r="B89" s="1">
        <v>5006</v>
      </c>
      <c r="C89" s="1">
        <v>4534</v>
      </c>
    </row>
    <row r="90" spans="1:3" x14ac:dyDescent="0.35">
      <c r="A90" t="s">
        <v>47</v>
      </c>
      <c r="B90" s="1">
        <v>400</v>
      </c>
      <c r="C90" s="1">
        <v>227</v>
      </c>
    </row>
    <row r="91" spans="1:3" x14ac:dyDescent="0.35">
      <c r="A91" t="s">
        <v>57</v>
      </c>
      <c r="B91" s="1">
        <v>538</v>
      </c>
      <c r="C91" s="1">
        <v>547</v>
      </c>
    </row>
    <row r="92" spans="1:3" x14ac:dyDescent="0.35">
      <c r="A92" t="s">
        <v>58</v>
      </c>
      <c r="B92" s="1">
        <v>56153</v>
      </c>
      <c r="C92" s="1">
        <v>51934</v>
      </c>
    </row>
    <row r="93" spans="1:3" x14ac:dyDescent="0.35">
      <c r="A93" t="s">
        <v>59</v>
      </c>
      <c r="B93" s="10">
        <v>260804</v>
      </c>
      <c r="C93" s="10">
        <v>228466</v>
      </c>
    </row>
    <row r="94" spans="1:3" x14ac:dyDescent="0.35">
      <c r="A94" s="2" t="s">
        <v>60</v>
      </c>
      <c r="B94" s="1">
        <v>481632</v>
      </c>
      <c r="C94" s="1">
        <v>437242</v>
      </c>
    </row>
    <row r="95" spans="1:3" x14ac:dyDescent="0.35">
      <c r="A95" s="2"/>
      <c r="C95" s="1"/>
    </row>
    <row r="96" spans="1:3" x14ac:dyDescent="0.35">
      <c r="A96" s="2" t="s">
        <v>61</v>
      </c>
      <c r="B96" s="1"/>
      <c r="C96" s="1"/>
    </row>
    <row r="97" spans="1:9" x14ac:dyDescent="0.35">
      <c r="A97" t="s">
        <v>62</v>
      </c>
      <c r="B97" s="1">
        <v>3082</v>
      </c>
      <c r="C97" s="1">
        <v>3043</v>
      </c>
    </row>
    <row r="98" spans="1:9" x14ac:dyDescent="0.35">
      <c r="A98" t="s">
        <v>63</v>
      </c>
      <c r="B98" s="1" t="s">
        <v>22</v>
      </c>
      <c r="C98" s="1">
        <v>10</v>
      </c>
    </row>
    <row r="99" spans="1:9" x14ac:dyDescent="0.35">
      <c r="A99" t="s">
        <v>64</v>
      </c>
      <c r="B99" s="1"/>
      <c r="C99" s="1"/>
    </row>
    <row r="100" spans="1:9" x14ac:dyDescent="0.35">
      <c r="A100" t="s">
        <v>65</v>
      </c>
      <c r="B100" s="1"/>
      <c r="C100" s="1"/>
    </row>
    <row r="101" spans="1:9" x14ac:dyDescent="0.35">
      <c r="A101" t="s">
        <v>66</v>
      </c>
      <c r="B101" s="1">
        <v>7995</v>
      </c>
      <c r="C101" s="1">
        <v>7995</v>
      </c>
    </row>
    <row r="102" spans="1:9" x14ac:dyDescent="0.35">
      <c r="A102" t="s">
        <v>67</v>
      </c>
      <c r="B102" s="1">
        <v>11332</v>
      </c>
      <c r="C102" s="1">
        <v>11758</v>
      </c>
    </row>
    <row r="103" spans="1:9" x14ac:dyDescent="0.35">
      <c r="A103" t="s">
        <v>68</v>
      </c>
      <c r="B103" s="1">
        <v>1154</v>
      </c>
      <c r="C103" s="1">
        <v>711</v>
      </c>
    </row>
    <row r="104" spans="1:9" x14ac:dyDescent="0.35">
      <c r="A104" t="s">
        <v>69</v>
      </c>
      <c r="B104" s="10">
        <v>457</v>
      </c>
      <c r="C104" s="10">
        <v>445</v>
      </c>
    </row>
    <row r="105" spans="1:9" x14ac:dyDescent="0.35">
      <c r="A105" s="2" t="s">
        <v>13</v>
      </c>
      <c r="B105" s="12">
        <v>24020</v>
      </c>
      <c r="C105" s="12">
        <v>23962</v>
      </c>
    </row>
    <row r="106" spans="1:9" ht="15" thickBot="1" x14ac:dyDescent="0.4">
      <c r="A106" s="2" t="s">
        <v>70</v>
      </c>
      <c r="B106" s="11">
        <v>505652</v>
      </c>
      <c r="C106" s="11">
        <v>461204</v>
      </c>
    </row>
    <row r="107" spans="1:9" ht="15" thickTop="1" x14ac:dyDescent="0.35"/>
    <row r="109" spans="1:9" x14ac:dyDescent="0.35">
      <c r="A109" t="s">
        <v>187</v>
      </c>
      <c r="B109" t="s">
        <v>193</v>
      </c>
      <c r="C109" t="s">
        <v>194</v>
      </c>
      <c r="D109" t="s">
        <v>195</v>
      </c>
      <c r="E109" t="s">
        <v>196</v>
      </c>
      <c r="F109" t="s">
        <v>197</v>
      </c>
      <c r="G109" t="s">
        <v>198</v>
      </c>
      <c r="H109" t="s">
        <v>199</v>
      </c>
      <c r="I109" t="s">
        <v>200</v>
      </c>
    </row>
    <row r="110" spans="1:9" x14ac:dyDescent="0.35">
      <c r="A110" s="2" t="s">
        <v>166</v>
      </c>
      <c r="B110" s="3">
        <v>7995</v>
      </c>
      <c r="C110" s="4">
        <v>445</v>
      </c>
      <c r="D110" s="3">
        <v>11758</v>
      </c>
      <c r="E110" s="4">
        <v>711</v>
      </c>
      <c r="F110" s="3">
        <v>20909</v>
      </c>
      <c r="G110" s="4">
        <v>10</v>
      </c>
      <c r="H110" s="3">
        <v>3043</v>
      </c>
      <c r="I110" s="4">
        <v>23962</v>
      </c>
    </row>
    <row r="111" spans="1:9" x14ac:dyDescent="0.35">
      <c r="A111" t="s">
        <v>188</v>
      </c>
      <c r="B111" s="4" t="s">
        <v>22</v>
      </c>
      <c r="C111" s="4" t="s">
        <v>22</v>
      </c>
      <c r="D111" s="3">
        <v>2724</v>
      </c>
      <c r="E111" s="4" t="s">
        <v>22</v>
      </c>
      <c r="F111" s="3">
        <v>2724</v>
      </c>
      <c r="G111" s="4" t="s">
        <v>22</v>
      </c>
      <c r="H111" s="4">
        <v>42</v>
      </c>
      <c r="I111" s="4">
        <v>2766</v>
      </c>
    </row>
    <row r="112" spans="1:9" x14ac:dyDescent="0.35">
      <c r="A112" t="s">
        <v>189</v>
      </c>
      <c r="B112" s="7" t="s">
        <v>22</v>
      </c>
      <c r="C112" s="7" t="s">
        <v>22</v>
      </c>
      <c r="D112" s="7" t="s">
        <v>22</v>
      </c>
      <c r="E112" s="7">
        <v>443</v>
      </c>
      <c r="F112" s="7">
        <v>443</v>
      </c>
      <c r="G112" s="7" t="s">
        <v>22</v>
      </c>
      <c r="H112" s="7">
        <v>-3</v>
      </c>
      <c r="I112" s="7">
        <v>440</v>
      </c>
    </row>
    <row r="113" spans="1:9" x14ac:dyDescent="0.35">
      <c r="B113" s="3">
        <v>7995</v>
      </c>
      <c r="C113" s="4">
        <v>445</v>
      </c>
      <c r="D113" s="3">
        <v>14482</v>
      </c>
      <c r="E113" s="3">
        <v>1154</v>
      </c>
      <c r="F113" s="3">
        <v>24076</v>
      </c>
      <c r="G113" s="4">
        <v>10</v>
      </c>
      <c r="H113" s="3">
        <v>3082</v>
      </c>
      <c r="I113" s="4">
        <v>27168</v>
      </c>
    </row>
    <row r="114" spans="1:9" x14ac:dyDescent="0.35">
      <c r="A114" t="s">
        <v>190</v>
      </c>
      <c r="B114" s="4" t="s">
        <v>22</v>
      </c>
      <c r="C114" s="4" t="s">
        <v>22</v>
      </c>
      <c r="D114" s="3">
        <v>-3150</v>
      </c>
      <c r="E114" s="4" t="s">
        <v>22</v>
      </c>
      <c r="F114" s="3">
        <v>-3150</v>
      </c>
      <c r="G114" s="4" t="s">
        <v>22</v>
      </c>
      <c r="H114" s="4" t="s">
        <v>22</v>
      </c>
      <c r="I114" s="4">
        <v>-3150</v>
      </c>
    </row>
    <row r="115" spans="1:9" x14ac:dyDescent="0.35">
      <c r="A115" t="s">
        <v>191</v>
      </c>
      <c r="B115" s="4" t="s">
        <v>22</v>
      </c>
      <c r="C115" s="4">
        <v>12</v>
      </c>
      <c r="D115" s="4" t="s">
        <v>22</v>
      </c>
      <c r="E115" s="4" t="s">
        <v>22</v>
      </c>
      <c r="F115" s="4">
        <v>12</v>
      </c>
      <c r="G115" s="4" t="s">
        <v>22</v>
      </c>
      <c r="H115" s="4" t="s">
        <v>22</v>
      </c>
      <c r="I115" s="4">
        <v>12</v>
      </c>
    </row>
    <row r="116" spans="1:9" x14ac:dyDescent="0.35">
      <c r="A116" t="s">
        <v>192</v>
      </c>
      <c r="B116" s="7" t="s">
        <v>22</v>
      </c>
      <c r="C116" s="7" t="s">
        <v>22</v>
      </c>
      <c r="D116" s="7" t="s">
        <v>22</v>
      </c>
      <c r="E116" s="7" t="s">
        <v>22</v>
      </c>
      <c r="F116" s="7" t="s">
        <v>22</v>
      </c>
      <c r="G116" s="7">
        <v>-10</v>
      </c>
      <c r="H116" s="7" t="s">
        <v>22</v>
      </c>
      <c r="I116" s="7">
        <v>-10</v>
      </c>
    </row>
    <row r="117" spans="1:9" ht="15" thickBot="1" x14ac:dyDescent="0.4">
      <c r="A117" s="2" t="s">
        <v>167</v>
      </c>
      <c r="B117" s="8">
        <v>7995</v>
      </c>
      <c r="C117" s="9">
        <v>457</v>
      </c>
      <c r="D117" s="8">
        <v>11332</v>
      </c>
      <c r="E117" s="8">
        <v>1154</v>
      </c>
      <c r="F117" s="8">
        <v>20938</v>
      </c>
      <c r="G117" s="9" t="s">
        <v>22</v>
      </c>
      <c r="H117" s="8">
        <v>3082</v>
      </c>
      <c r="I117" s="9">
        <v>24020</v>
      </c>
    </row>
    <row r="118" spans="1:9" ht="15" thickTop="1" x14ac:dyDescent="0.35"/>
    <row r="121" spans="1:9" x14ac:dyDescent="0.35">
      <c r="A121" t="s">
        <v>201</v>
      </c>
      <c r="B121" t="s">
        <v>182</v>
      </c>
      <c r="C121" t="s">
        <v>183</v>
      </c>
    </row>
    <row r="122" spans="1:9" x14ac:dyDescent="0.35">
      <c r="A122" s="2" t="s">
        <v>109</v>
      </c>
    </row>
    <row r="123" spans="1:9" x14ac:dyDescent="0.35">
      <c r="A123" t="s">
        <v>27</v>
      </c>
      <c r="B123">
        <v>3014</v>
      </c>
      <c r="C123">
        <v>3699</v>
      </c>
    </row>
    <row r="124" spans="1:9" x14ac:dyDescent="0.35">
      <c r="A124" t="s">
        <v>71</v>
      </c>
      <c r="B124">
        <v>-554</v>
      </c>
      <c r="C124">
        <v>-602</v>
      </c>
    </row>
    <row r="125" spans="1:9" x14ac:dyDescent="0.35">
      <c r="A125" t="s">
        <v>72</v>
      </c>
    </row>
    <row r="126" spans="1:9" x14ac:dyDescent="0.35">
      <c r="A126" t="s">
        <v>73</v>
      </c>
      <c r="B126">
        <v>5118</v>
      </c>
      <c r="C126">
        <v>6256</v>
      </c>
    </row>
    <row r="127" spans="1:9" x14ac:dyDescent="0.35">
      <c r="A127" t="s">
        <v>74</v>
      </c>
      <c r="B127">
        <v>-261</v>
      </c>
      <c r="C127">
        <v>-326</v>
      </c>
    </row>
    <row r="128" spans="1:9" x14ac:dyDescent="0.35">
      <c r="A128" t="s">
        <v>75</v>
      </c>
      <c r="B128">
        <v>147</v>
      </c>
      <c r="C128">
        <v>133</v>
      </c>
    </row>
    <row r="129" spans="1:3" x14ac:dyDescent="0.35">
      <c r="A129" t="s">
        <v>76</v>
      </c>
      <c r="B129">
        <v>351</v>
      </c>
      <c r="C129">
        <v>206</v>
      </c>
    </row>
    <row r="130" spans="1:3" x14ac:dyDescent="0.35">
      <c r="A130" t="s">
        <v>77</v>
      </c>
      <c r="B130">
        <v>-376</v>
      </c>
      <c r="C130">
        <v>58</v>
      </c>
    </row>
    <row r="131" spans="1:3" x14ac:dyDescent="0.35">
      <c r="A131" t="s">
        <v>78</v>
      </c>
      <c r="B131">
        <v>-1328</v>
      </c>
      <c r="C131">
        <v>-1280</v>
      </c>
    </row>
    <row r="132" spans="1:3" x14ac:dyDescent="0.35">
      <c r="A132" t="s">
        <v>79</v>
      </c>
      <c r="B132">
        <v>37806</v>
      </c>
      <c r="C132">
        <v>31916</v>
      </c>
    </row>
    <row r="133" spans="1:3" x14ac:dyDescent="0.35">
      <c r="A133" t="s">
        <v>80</v>
      </c>
      <c r="B133">
        <v>-40045</v>
      </c>
      <c r="C133">
        <v>-35642</v>
      </c>
    </row>
    <row r="134" spans="1:3" x14ac:dyDescent="0.35">
      <c r="A134" t="s">
        <v>81</v>
      </c>
      <c r="B134" s="5">
        <v>-621</v>
      </c>
      <c r="C134" s="5">
        <v>-1071</v>
      </c>
    </row>
    <row r="135" spans="1:3" x14ac:dyDescent="0.35">
      <c r="B135">
        <v>3251</v>
      </c>
      <c r="C135">
        <v>3347</v>
      </c>
    </row>
    <row r="136" spans="1:3" x14ac:dyDescent="0.35">
      <c r="A136" s="2" t="s">
        <v>82</v>
      </c>
    </row>
    <row r="137" spans="1:3" x14ac:dyDescent="0.35">
      <c r="A137" t="s">
        <v>83</v>
      </c>
      <c r="B137">
        <v>-3150</v>
      </c>
      <c r="C137">
        <v>-2838</v>
      </c>
    </row>
    <row r="139" spans="1:3" x14ac:dyDescent="0.35">
      <c r="A139" s="2" t="s">
        <v>84</v>
      </c>
    </row>
    <row r="140" spans="1:3" x14ac:dyDescent="0.35">
      <c r="A140" t="s">
        <v>85</v>
      </c>
      <c r="B140">
        <v>-22</v>
      </c>
      <c r="C140">
        <v>-103</v>
      </c>
    </row>
    <row r="142" spans="1:3" x14ac:dyDescent="0.35">
      <c r="A142" t="s">
        <v>86</v>
      </c>
      <c r="B142">
        <v>78</v>
      </c>
      <c r="C142">
        <v>172</v>
      </c>
    </row>
    <row r="143" spans="1:3" x14ac:dyDescent="0.35">
      <c r="A143" s="2" t="s">
        <v>87</v>
      </c>
      <c r="B143">
        <v>157</v>
      </c>
      <c r="C143">
        <v>578</v>
      </c>
    </row>
    <row r="144" spans="1:3" x14ac:dyDescent="0.35">
      <c r="A144" s="2" t="s">
        <v>88</v>
      </c>
      <c r="B144" s="5">
        <v>4522</v>
      </c>
      <c r="C144" s="5">
        <v>3944</v>
      </c>
    </row>
    <row r="145" spans="1:3" ht="15" thickBot="1" x14ac:dyDescent="0.4">
      <c r="A145" s="2" t="s">
        <v>89</v>
      </c>
      <c r="B145" s="6">
        <v>4679</v>
      </c>
      <c r="C145" s="6">
        <v>4522</v>
      </c>
    </row>
    <row r="146" spans="1:3" ht="15" thickTop="1" x14ac:dyDescent="0.35">
      <c r="A146" s="2" t="s">
        <v>90</v>
      </c>
    </row>
    <row r="147" spans="1:3" x14ac:dyDescent="0.35">
      <c r="A147" t="s">
        <v>91</v>
      </c>
      <c r="B147">
        <v>5172</v>
      </c>
      <c r="C147">
        <v>4675</v>
      </c>
    </row>
    <row r="148" spans="1:3" x14ac:dyDescent="0.35">
      <c r="A148" t="s">
        <v>92</v>
      </c>
      <c r="B148">
        <v>114</v>
      </c>
      <c r="C148">
        <v>112</v>
      </c>
    </row>
    <row r="149" spans="1:3" x14ac:dyDescent="0.35">
      <c r="A149" t="s">
        <v>93</v>
      </c>
      <c r="B149">
        <v>447</v>
      </c>
      <c r="C149">
        <v>417</v>
      </c>
    </row>
  </sheetData>
  <pageMargins left="0.7" right="0.7" top="0.75" bottom="0.75" header="0.3" footer="0.3"/>
  <tableParts count="5">
    <tablePart r:id="rId1"/>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63A6-4620-4375-AB9A-71154E8FF4C3}">
  <dimension ref="A2:I147"/>
  <sheetViews>
    <sheetView workbookViewId="0">
      <selection activeCell="C21" sqref="C21"/>
    </sheetView>
  </sheetViews>
  <sheetFormatPr defaultRowHeight="14.5" x14ac:dyDescent="0.35"/>
  <cols>
    <col min="1" max="1" width="72.6328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6" width="11.7265625" bestFit="1" customWidth="1"/>
  </cols>
  <sheetData>
    <row r="2" spans="1:3" x14ac:dyDescent="0.35">
      <c r="A2" t="s">
        <v>205</v>
      </c>
      <c r="B2" t="s">
        <v>183</v>
      </c>
      <c r="C2" t="s">
        <v>103</v>
      </c>
    </row>
    <row r="3" spans="1:3" x14ac:dyDescent="0.35">
      <c r="A3" s="2" t="s">
        <v>0</v>
      </c>
    </row>
    <row r="4" spans="1:3" x14ac:dyDescent="0.35">
      <c r="A4" t="s">
        <v>1</v>
      </c>
      <c r="B4" s="1">
        <v>107</v>
      </c>
      <c r="C4" s="1">
        <v>24</v>
      </c>
    </row>
    <row r="5" spans="1:3" x14ac:dyDescent="0.35">
      <c r="A5" t="s">
        <v>2</v>
      </c>
      <c r="B5" s="10">
        <v>3140</v>
      </c>
      <c r="C5" s="10">
        <v>2394</v>
      </c>
    </row>
    <row r="6" spans="1:3" x14ac:dyDescent="0.35">
      <c r="A6" s="14" t="s">
        <v>3</v>
      </c>
      <c r="B6" s="10">
        <v>3247</v>
      </c>
      <c r="C6" s="10">
        <v>2418</v>
      </c>
    </row>
    <row r="7" spans="1:3" x14ac:dyDescent="0.35">
      <c r="A7" s="2"/>
      <c r="C7" s="1"/>
    </row>
    <row r="8" spans="1:3" x14ac:dyDescent="0.35">
      <c r="A8" s="2" t="s">
        <v>4</v>
      </c>
      <c r="B8" s="1">
        <v>3258</v>
      </c>
      <c r="C8" s="1">
        <v>3002</v>
      </c>
    </row>
    <row r="9" spans="1:3" x14ac:dyDescent="0.35">
      <c r="A9" s="2" t="s">
        <v>5</v>
      </c>
      <c r="B9" s="1">
        <v>1015</v>
      </c>
      <c r="C9" s="1">
        <v>200</v>
      </c>
    </row>
    <row r="10" spans="1:3" x14ac:dyDescent="0.35">
      <c r="A10" s="14" t="s">
        <v>6</v>
      </c>
      <c r="B10" s="10">
        <v>2853</v>
      </c>
      <c r="C10" s="10">
        <v>2163</v>
      </c>
    </row>
    <row r="11" spans="1:3" x14ac:dyDescent="0.35">
      <c r="A11" s="2"/>
      <c r="C11" s="1"/>
    </row>
    <row r="12" spans="1:3" x14ac:dyDescent="0.35">
      <c r="A12" s="2" t="s">
        <v>7</v>
      </c>
      <c r="B12" s="1">
        <v>461204</v>
      </c>
      <c r="C12" s="1">
        <v>410616</v>
      </c>
    </row>
    <row r="13" spans="1:3" x14ac:dyDescent="0.35">
      <c r="A13" s="2" t="s">
        <v>94</v>
      </c>
      <c r="B13" s="1">
        <v>576201</v>
      </c>
      <c r="C13" s="1">
        <v>499941</v>
      </c>
    </row>
    <row r="14" spans="1:3" x14ac:dyDescent="0.35">
      <c r="A14" s="2" t="s">
        <v>203</v>
      </c>
      <c r="B14" s="1">
        <v>654853</v>
      </c>
      <c r="C14" s="1">
        <v>567652</v>
      </c>
    </row>
    <row r="15" spans="1:3" x14ac:dyDescent="0.35">
      <c r="A15" s="2" t="s">
        <v>8</v>
      </c>
      <c r="B15" s="1">
        <v>13243</v>
      </c>
      <c r="C15" s="1">
        <v>12458</v>
      </c>
    </row>
    <row r="16" spans="1:3" x14ac:dyDescent="0.35">
      <c r="A16" s="2"/>
      <c r="C16" s="1"/>
    </row>
    <row r="17" spans="1:3" x14ac:dyDescent="0.35">
      <c r="A17" t="s">
        <v>9</v>
      </c>
      <c r="B17" s="1">
        <v>3043</v>
      </c>
      <c r="C17" s="1">
        <v>2844</v>
      </c>
    </row>
    <row r="18" spans="1:3" x14ac:dyDescent="0.35">
      <c r="A18" t="s">
        <v>10</v>
      </c>
      <c r="B18" s="1">
        <v>10</v>
      </c>
      <c r="C18" s="1">
        <v>16</v>
      </c>
    </row>
    <row r="19" spans="1:3" x14ac:dyDescent="0.35">
      <c r="A19" t="s">
        <v>12</v>
      </c>
      <c r="B19" s="10">
        <v>20909</v>
      </c>
      <c r="C19" s="10">
        <v>19813</v>
      </c>
    </row>
    <row r="20" spans="1:3" x14ac:dyDescent="0.35">
      <c r="A20" s="2" t="s">
        <v>13</v>
      </c>
      <c r="B20" s="1">
        <v>23962</v>
      </c>
      <c r="C20" s="1">
        <v>22673</v>
      </c>
    </row>
    <row r="21" spans="1:3" x14ac:dyDescent="0.35">
      <c r="A21" s="2" t="s">
        <v>204</v>
      </c>
      <c r="B21" s="13">
        <v>1.3</v>
      </c>
      <c r="C21" s="13">
        <v>1.28</v>
      </c>
    </row>
    <row r="24" spans="1:3" x14ac:dyDescent="0.35">
      <c r="A24" t="s">
        <v>213</v>
      </c>
      <c r="B24" t="s">
        <v>183</v>
      </c>
      <c r="C24" t="s">
        <v>103</v>
      </c>
    </row>
    <row r="25" spans="1:3" x14ac:dyDescent="0.35">
      <c r="A25" s="2" t="s">
        <v>4</v>
      </c>
      <c r="B25" s="1"/>
      <c r="C25" s="1"/>
    </row>
    <row r="26" spans="1:3" x14ac:dyDescent="0.35">
      <c r="A26" t="s">
        <v>240</v>
      </c>
      <c r="B26" s="1">
        <v>21007</v>
      </c>
      <c r="C26" s="1">
        <v>20188</v>
      </c>
    </row>
    <row r="27" spans="1:3" x14ac:dyDescent="0.35">
      <c r="A27" t="s">
        <v>242</v>
      </c>
      <c r="B27" s="1">
        <v>-16165</v>
      </c>
      <c r="C27" s="1">
        <v>-15622</v>
      </c>
    </row>
    <row r="28" spans="1:3" x14ac:dyDescent="0.35">
      <c r="A28" t="s">
        <v>14</v>
      </c>
      <c r="B28" s="10">
        <v>-1584</v>
      </c>
      <c r="C28" s="10">
        <v>-1564</v>
      </c>
    </row>
    <row r="29" spans="1:3" x14ac:dyDescent="0.35">
      <c r="B29" s="12">
        <v>3258</v>
      </c>
      <c r="C29" s="12">
        <v>3002</v>
      </c>
    </row>
    <row r="30" spans="1:3" x14ac:dyDescent="0.35">
      <c r="A30" s="2" t="s">
        <v>15</v>
      </c>
      <c r="B30" s="1"/>
      <c r="C30" s="1"/>
    </row>
    <row r="31" spans="1:3" x14ac:dyDescent="0.35">
      <c r="A31" t="s">
        <v>16</v>
      </c>
      <c r="B31" s="1">
        <v>5719</v>
      </c>
      <c r="C31" s="1">
        <v>4877</v>
      </c>
    </row>
    <row r="32" spans="1:3" x14ac:dyDescent="0.35">
      <c r="A32" t="s">
        <v>17</v>
      </c>
      <c r="B32" s="10">
        <v>1280</v>
      </c>
      <c r="C32" s="10">
        <v>4267</v>
      </c>
    </row>
    <row r="33" spans="1:3" x14ac:dyDescent="0.35">
      <c r="B33" s="1">
        <v>6999</v>
      </c>
      <c r="C33" s="1">
        <v>9144</v>
      </c>
    </row>
    <row r="34" spans="1:3" x14ac:dyDescent="0.35">
      <c r="A34" t="s">
        <v>18</v>
      </c>
      <c r="B34" s="1">
        <v>-5851</v>
      </c>
      <c r="C34" s="1">
        <v>-9032</v>
      </c>
    </row>
    <row r="35" spans="1:3" x14ac:dyDescent="0.35">
      <c r="A35" t="s">
        <v>19</v>
      </c>
      <c r="B35" s="1">
        <v>26</v>
      </c>
      <c r="C35" s="1">
        <v>266</v>
      </c>
    </row>
    <row r="36" spans="1:3" x14ac:dyDescent="0.35">
      <c r="A36" t="s">
        <v>20</v>
      </c>
      <c r="B36" s="10">
        <v>-159</v>
      </c>
      <c r="C36" s="10">
        <v>-178</v>
      </c>
    </row>
    <row r="37" spans="1:3" x14ac:dyDescent="0.35">
      <c r="B37" s="12">
        <v>1015</v>
      </c>
      <c r="C37" s="12">
        <v>200</v>
      </c>
    </row>
    <row r="38" spans="1:3" x14ac:dyDescent="0.35">
      <c r="A38" s="2" t="s">
        <v>21</v>
      </c>
      <c r="B38" s="1"/>
      <c r="C38" s="1"/>
    </row>
    <row r="39" spans="1:3" x14ac:dyDescent="0.35">
      <c r="A39" t="s">
        <v>95</v>
      </c>
      <c r="B39" s="1">
        <v>6828</v>
      </c>
      <c r="C39" s="1">
        <v>4808</v>
      </c>
    </row>
    <row r="40" spans="1:3" x14ac:dyDescent="0.35">
      <c r="A40" t="s">
        <v>18</v>
      </c>
      <c r="B40" s="10">
        <v>-6828</v>
      </c>
      <c r="C40" s="10">
        <v>-4808</v>
      </c>
    </row>
    <row r="41" spans="1:3" x14ac:dyDescent="0.35">
      <c r="B41" s="12" t="s">
        <v>22</v>
      </c>
      <c r="C41" s="12" t="s">
        <v>22</v>
      </c>
    </row>
    <row r="42" spans="1:3" x14ac:dyDescent="0.35">
      <c r="A42" s="2" t="s">
        <v>23</v>
      </c>
      <c r="B42" s="1"/>
      <c r="C42" s="1"/>
    </row>
    <row r="43" spans="1:3" x14ac:dyDescent="0.35">
      <c r="A43" t="s">
        <v>6</v>
      </c>
      <c r="B43" s="1">
        <v>2853</v>
      </c>
      <c r="C43" s="1">
        <v>2163</v>
      </c>
    </row>
    <row r="44" spans="1:3" x14ac:dyDescent="0.35">
      <c r="A44" t="s">
        <v>243</v>
      </c>
      <c r="B44" s="1">
        <v>-3088</v>
      </c>
      <c r="C44" s="1">
        <v>-2635</v>
      </c>
    </row>
    <row r="45" spans="1:3" x14ac:dyDescent="0.35">
      <c r="A45" t="s">
        <v>24</v>
      </c>
      <c r="B45" s="1">
        <v>-185</v>
      </c>
      <c r="C45" s="1">
        <v>-160</v>
      </c>
    </row>
    <row r="46" spans="1:3" x14ac:dyDescent="0.35">
      <c r="A46" t="s">
        <v>25</v>
      </c>
      <c r="B46" s="1">
        <v>-105</v>
      </c>
      <c r="C46" s="1">
        <v>-105</v>
      </c>
    </row>
    <row r="47" spans="1:3" x14ac:dyDescent="0.35">
      <c r="A47" t="s">
        <v>96</v>
      </c>
      <c r="B47" s="10">
        <v>-49</v>
      </c>
      <c r="C47" s="10">
        <v>-126</v>
      </c>
    </row>
    <row r="48" spans="1:3" x14ac:dyDescent="0.35">
      <c r="A48" s="2" t="s">
        <v>27</v>
      </c>
      <c r="B48" s="1">
        <v>3699</v>
      </c>
      <c r="C48" s="1">
        <v>2339</v>
      </c>
    </row>
    <row r="49" spans="1:3" x14ac:dyDescent="0.35">
      <c r="A49" t="s">
        <v>28</v>
      </c>
      <c r="B49" s="10">
        <v>455</v>
      </c>
      <c r="C49" s="10">
        <v>-80</v>
      </c>
    </row>
    <row r="50" spans="1:3" x14ac:dyDescent="0.35">
      <c r="A50" s="2" t="s">
        <v>29</v>
      </c>
      <c r="B50" s="1">
        <v>3244</v>
      </c>
      <c r="C50" s="1">
        <v>2419</v>
      </c>
    </row>
    <row r="51" spans="1:3" x14ac:dyDescent="0.35">
      <c r="A51" t="s">
        <v>30</v>
      </c>
      <c r="B51" s="10">
        <v>-3</v>
      </c>
      <c r="C51" s="10">
        <v>1</v>
      </c>
    </row>
    <row r="52" spans="1:3" x14ac:dyDescent="0.35">
      <c r="A52" s="2" t="s">
        <v>3</v>
      </c>
      <c r="B52" s="1">
        <v>3247</v>
      </c>
      <c r="C52" s="1">
        <v>2418</v>
      </c>
    </row>
    <row r="53" spans="1:3" x14ac:dyDescent="0.35">
      <c r="A53" t="s">
        <v>31</v>
      </c>
      <c r="B53" s="10">
        <v>107</v>
      </c>
      <c r="C53" s="10">
        <v>24</v>
      </c>
    </row>
    <row r="54" spans="1:3" ht="15" thickBot="1" x14ac:dyDescent="0.4">
      <c r="A54" s="2" t="s">
        <v>32</v>
      </c>
      <c r="B54" s="11">
        <v>3140</v>
      </c>
      <c r="C54" s="11">
        <v>2394</v>
      </c>
    </row>
    <row r="55" spans="1:3" ht="15" thickTop="1" x14ac:dyDescent="0.35"/>
    <row r="57" spans="1:3" x14ac:dyDescent="0.35">
      <c r="A57" t="s">
        <v>206</v>
      </c>
      <c r="B57" t="s">
        <v>183</v>
      </c>
      <c r="C57" t="s">
        <v>103</v>
      </c>
    </row>
    <row r="58" spans="1:3" x14ac:dyDescent="0.35">
      <c r="A58" s="2" t="s">
        <v>105</v>
      </c>
    </row>
    <row r="59" spans="1:3" x14ac:dyDescent="0.35">
      <c r="A59" t="s">
        <v>244</v>
      </c>
      <c r="B59" s="1">
        <v>4522</v>
      </c>
      <c r="C59" s="1">
        <v>3944</v>
      </c>
    </row>
    <row r="60" spans="1:3" x14ac:dyDescent="0.35">
      <c r="A60" t="s">
        <v>34</v>
      </c>
      <c r="B60" s="1">
        <v>100863</v>
      </c>
      <c r="C60" s="1">
        <v>91904</v>
      </c>
    </row>
    <row r="61" spans="1:3" x14ac:dyDescent="0.35">
      <c r="A61" t="s">
        <v>35</v>
      </c>
      <c r="B61" s="1">
        <v>25477</v>
      </c>
      <c r="C61" s="1">
        <v>24449</v>
      </c>
    </row>
    <row r="62" spans="1:3" x14ac:dyDescent="0.35">
      <c r="A62" t="s">
        <v>36</v>
      </c>
      <c r="B62" s="1">
        <v>14794</v>
      </c>
      <c r="C62" s="1">
        <v>13589</v>
      </c>
    </row>
    <row r="63" spans="1:3" x14ac:dyDescent="0.35">
      <c r="A63" t="s">
        <v>37</v>
      </c>
      <c r="B63" s="10">
        <v>8235</v>
      </c>
      <c r="C63" s="10">
        <v>7849</v>
      </c>
    </row>
    <row r="64" spans="1:3" x14ac:dyDescent="0.35">
      <c r="B64" s="1">
        <v>153891</v>
      </c>
      <c r="C64" s="1">
        <v>141735</v>
      </c>
    </row>
    <row r="65" spans="1:3" x14ac:dyDescent="0.35">
      <c r="A65" t="s">
        <v>38</v>
      </c>
      <c r="B65" s="1">
        <v>858</v>
      </c>
      <c r="C65" s="1">
        <v>902</v>
      </c>
    </row>
    <row r="66" spans="1:3" x14ac:dyDescent="0.35">
      <c r="A66" t="s">
        <v>39</v>
      </c>
      <c r="B66" s="1">
        <v>6544</v>
      </c>
      <c r="C66" s="1">
        <v>6546</v>
      </c>
    </row>
    <row r="67" spans="1:3" x14ac:dyDescent="0.35">
      <c r="A67" t="s">
        <v>40</v>
      </c>
      <c r="B67" s="1">
        <v>6827</v>
      </c>
      <c r="C67" s="1">
        <v>7072</v>
      </c>
    </row>
    <row r="68" spans="1:3" x14ac:dyDescent="0.35">
      <c r="A68" t="s">
        <v>41</v>
      </c>
      <c r="B68" s="1">
        <v>2866</v>
      </c>
      <c r="C68" s="1">
        <v>2484</v>
      </c>
    </row>
    <row r="69" spans="1:3" x14ac:dyDescent="0.35">
      <c r="A69" t="s">
        <v>42</v>
      </c>
      <c r="B69" s="1">
        <v>1458</v>
      </c>
      <c r="C69" s="1">
        <v>1486</v>
      </c>
    </row>
    <row r="70" spans="1:3" x14ac:dyDescent="0.35">
      <c r="A70" t="s">
        <v>43</v>
      </c>
      <c r="B70" s="1">
        <v>589</v>
      </c>
      <c r="C70" s="1">
        <v>544</v>
      </c>
    </row>
    <row r="71" spans="1:3" x14ac:dyDescent="0.35">
      <c r="A71" t="s">
        <v>44</v>
      </c>
      <c r="B71" s="1">
        <v>277</v>
      </c>
      <c r="C71" s="1">
        <v>252</v>
      </c>
    </row>
    <row r="72" spans="1:3" x14ac:dyDescent="0.35">
      <c r="A72" t="s">
        <v>45</v>
      </c>
      <c r="B72" s="1">
        <v>3704</v>
      </c>
      <c r="C72" s="1">
        <v>3117</v>
      </c>
    </row>
    <row r="73" spans="1:3" x14ac:dyDescent="0.35">
      <c r="A73" t="s">
        <v>46</v>
      </c>
      <c r="B73" s="1">
        <v>2647</v>
      </c>
      <c r="C73" s="1">
        <v>2344</v>
      </c>
    </row>
    <row r="74" spans="1:3" x14ac:dyDescent="0.35">
      <c r="A74" t="s">
        <v>47</v>
      </c>
      <c r="B74" s="1">
        <v>185</v>
      </c>
      <c r="C74" s="1">
        <v>144</v>
      </c>
    </row>
    <row r="75" spans="1:3" x14ac:dyDescent="0.35">
      <c r="A75" t="s">
        <v>48</v>
      </c>
      <c r="B75" s="1">
        <v>958</v>
      </c>
      <c r="C75" s="1">
        <v>804</v>
      </c>
    </row>
    <row r="76" spans="1:3" x14ac:dyDescent="0.35">
      <c r="A76" t="s">
        <v>49</v>
      </c>
      <c r="B76" s="10">
        <v>280400</v>
      </c>
      <c r="C76" s="10">
        <v>243186</v>
      </c>
    </row>
    <row r="77" spans="1:3" ht="15" thickBot="1" x14ac:dyDescent="0.4">
      <c r="A77" s="2" t="s">
        <v>7</v>
      </c>
      <c r="B77" s="11">
        <v>461204</v>
      </c>
      <c r="C77" s="11">
        <v>410616</v>
      </c>
    </row>
    <row r="78" spans="1:3" ht="15" thickTop="1" x14ac:dyDescent="0.35">
      <c r="A78" s="2"/>
      <c r="B78" s="1"/>
      <c r="C78" s="1"/>
    </row>
    <row r="79" spans="1:3" x14ac:dyDescent="0.35">
      <c r="A79" s="2" t="s">
        <v>50</v>
      </c>
      <c r="B79" s="1"/>
      <c r="C79" s="1"/>
    </row>
    <row r="80" spans="1:3" x14ac:dyDescent="0.35">
      <c r="A80" t="s">
        <v>51</v>
      </c>
      <c r="B80" s="1">
        <v>140310</v>
      </c>
      <c r="C80" s="1">
        <v>129689</v>
      </c>
    </row>
    <row r="81" spans="1:3" x14ac:dyDescent="0.35">
      <c r="A81" t="s">
        <v>52</v>
      </c>
      <c r="B81" s="1">
        <v>4687</v>
      </c>
      <c r="C81" s="1">
        <v>4953</v>
      </c>
    </row>
    <row r="82" spans="1:3" x14ac:dyDescent="0.35">
      <c r="A82" t="s">
        <v>53</v>
      </c>
      <c r="B82" s="1">
        <v>628</v>
      </c>
      <c r="C82" s="1">
        <v>475</v>
      </c>
    </row>
    <row r="83" spans="1:3" x14ac:dyDescent="0.35">
      <c r="A83" t="s">
        <v>245</v>
      </c>
      <c r="B83" s="1">
        <v>807</v>
      </c>
      <c r="C83" s="1">
        <v>748</v>
      </c>
    </row>
    <row r="84" spans="1:3" x14ac:dyDescent="0.35">
      <c r="A84" t="s">
        <v>54</v>
      </c>
      <c r="B84" s="1">
        <v>1000</v>
      </c>
      <c r="C84" s="1">
        <v>1000</v>
      </c>
    </row>
    <row r="85" spans="1:3" x14ac:dyDescent="0.35">
      <c r="A85" t="s">
        <v>42</v>
      </c>
      <c r="B85" s="1">
        <v>2074</v>
      </c>
      <c r="C85" s="1">
        <v>1208</v>
      </c>
    </row>
    <row r="86" spans="1:3" x14ac:dyDescent="0.35">
      <c r="A86" t="s">
        <v>55</v>
      </c>
      <c r="B86" s="1">
        <v>2028</v>
      </c>
      <c r="C86" s="1">
        <v>1672</v>
      </c>
    </row>
    <row r="87" spans="1:3" x14ac:dyDescent="0.35">
      <c r="A87" t="s">
        <v>56</v>
      </c>
      <c r="B87" s="1">
        <v>4534</v>
      </c>
      <c r="C87" s="1">
        <v>4401</v>
      </c>
    </row>
    <row r="88" spans="1:3" x14ac:dyDescent="0.35">
      <c r="A88" t="s">
        <v>47</v>
      </c>
      <c r="B88" s="1">
        <v>227</v>
      </c>
      <c r="C88" s="1">
        <v>97</v>
      </c>
    </row>
    <row r="89" spans="1:3" x14ac:dyDescent="0.35">
      <c r="A89" t="s">
        <v>57</v>
      </c>
      <c r="B89" s="1">
        <v>547</v>
      </c>
      <c r="C89" s="1">
        <v>514</v>
      </c>
    </row>
    <row r="90" spans="1:3" x14ac:dyDescent="0.35">
      <c r="A90" t="s">
        <v>58</v>
      </c>
      <c r="B90" s="1">
        <v>51934</v>
      </c>
      <c r="C90" s="1">
        <v>47410</v>
      </c>
    </row>
    <row r="91" spans="1:3" x14ac:dyDescent="0.35">
      <c r="A91" t="s">
        <v>59</v>
      </c>
      <c r="B91" s="10">
        <v>228466</v>
      </c>
      <c r="C91" s="10">
        <v>195776</v>
      </c>
    </row>
    <row r="92" spans="1:3" x14ac:dyDescent="0.35">
      <c r="A92" s="2" t="s">
        <v>60</v>
      </c>
      <c r="B92" s="1">
        <v>437242</v>
      </c>
      <c r="C92" s="1">
        <v>387943</v>
      </c>
    </row>
    <row r="93" spans="1:3" x14ac:dyDescent="0.35">
      <c r="A93" s="2"/>
      <c r="B93" s="1"/>
      <c r="C93" s="1"/>
    </row>
    <row r="94" spans="1:3" x14ac:dyDescent="0.35">
      <c r="A94" s="2" t="s">
        <v>61</v>
      </c>
      <c r="B94" s="1"/>
      <c r="C94" s="1"/>
    </row>
    <row r="95" spans="1:3" x14ac:dyDescent="0.35">
      <c r="A95" t="s">
        <v>62</v>
      </c>
      <c r="B95" s="1">
        <v>3043</v>
      </c>
      <c r="C95" s="1">
        <v>2844</v>
      </c>
    </row>
    <row r="96" spans="1:3" x14ac:dyDescent="0.35">
      <c r="A96" t="s">
        <v>63</v>
      </c>
      <c r="B96" s="1">
        <v>10</v>
      </c>
      <c r="C96" s="1">
        <v>16</v>
      </c>
    </row>
    <row r="97" spans="1:9" x14ac:dyDescent="0.35">
      <c r="A97" t="s">
        <v>64</v>
      </c>
      <c r="B97" s="1"/>
      <c r="C97" s="1"/>
    </row>
    <row r="98" spans="1:9" x14ac:dyDescent="0.35">
      <c r="A98" t="s">
        <v>65</v>
      </c>
      <c r="B98" s="1"/>
      <c r="C98" s="1"/>
    </row>
    <row r="99" spans="1:9" x14ac:dyDescent="0.35">
      <c r="A99" t="s">
        <v>66</v>
      </c>
      <c r="B99" s="1">
        <v>7995</v>
      </c>
      <c r="C99" s="1">
        <v>7995</v>
      </c>
    </row>
    <row r="100" spans="1:9" x14ac:dyDescent="0.35">
      <c r="A100" t="s">
        <v>67</v>
      </c>
      <c r="B100" s="1">
        <v>11758</v>
      </c>
      <c r="C100" s="1">
        <v>11456</v>
      </c>
    </row>
    <row r="101" spans="1:9" x14ac:dyDescent="0.35">
      <c r="A101" t="s">
        <v>97</v>
      </c>
      <c r="B101" s="1">
        <v>711</v>
      </c>
      <c r="C101" s="1">
        <v>-71</v>
      </c>
    </row>
    <row r="102" spans="1:9" x14ac:dyDescent="0.35">
      <c r="A102" t="s">
        <v>69</v>
      </c>
      <c r="B102" s="1">
        <v>445</v>
      </c>
      <c r="C102" s="1">
        <v>433</v>
      </c>
    </row>
    <row r="103" spans="1:9" x14ac:dyDescent="0.35">
      <c r="A103" s="2" t="s">
        <v>13</v>
      </c>
      <c r="B103" s="10">
        <v>23962</v>
      </c>
      <c r="C103" s="10">
        <v>22673</v>
      </c>
    </row>
    <row r="104" spans="1:9" ht="15" thickBot="1" x14ac:dyDescent="0.4">
      <c r="A104" s="2" t="s">
        <v>70</v>
      </c>
      <c r="B104" s="11">
        <v>461204</v>
      </c>
      <c r="C104" s="11">
        <v>410616</v>
      </c>
    </row>
    <row r="105" spans="1:9" ht="15" thickTop="1" x14ac:dyDescent="0.35"/>
    <row r="107" spans="1:9" x14ac:dyDescent="0.35">
      <c r="A107" t="s">
        <v>210</v>
      </c>
      <c r="B107" t="s">
        <v>65</v>
      </c>
      <c r="C107" t="s">
        <v>69</v>
      </c>
      <c r="D107" t="s">
        <v>67</v>
      </c>
      <c r="E107" t="s">
        <v>222</v>
      </c>
      <c r="F107" t="s">
        <v>225</v>
      </c>
      <c r="G107" t="s">
        <v>10</v>
      </c>
      <c r="H107" t="s">
        <v>9</v>
      </c>
      <c r="I107" t="s">
        <v>13</v>
      </c>
    </row>
    <row r="108" spans="1:9" x14ac:dyDescent="0.35">
      <c r="A108" s="2" t="s">
        <v>166</v>
      </c>
      <c r="B108" s="15">
        <v>7995</v>
      </c>
      <c r="C108" s="15">
        <v>433</v>
      </c>
      <c r="D108" s="15">
        <v>11456</v>
      </c>
      <c r="E108" s="15" t="s">
        <v>98</v>
      </c>
      <c r="F108" s="15">
        <v>19813</v>
      </c>
      <c r="G108" s="15">
        <v>16</v>
      </c>
      <c r="H108" s="15">
        <v>2844</v>
      </c>
      <c r="I108" s="15">
        <v>22673</v>
      </c>
    </row>
    <row r="109" spans="1:9" x14ac:dyDescent="0.35">
      <c r="A109" t="s">
        <v>207</v>
      </c>
      <c r="B109" s="15" t="s">
        <v>22</v>
      </c>
      <c r="C109" s="15" t="s">
        <v>22</v>
      </c>
      <c r="D109" s="15">
        <v>3140</v>
      </c>
      <c r="E109" s="15" t="s">
        <v>22</v>
      </c>
      <c r="F109" s="15">
        <v>3140</v>
      </c>
      <c r="G109" s="15">
        <v>-3</v>
      </c>
      <c r="H109" s="15">
        <v>107</v>
      </c>
      <c r="I109" s="15">
        <v>3244</v>
      </c>
    </row>
    <row r="110" spans="1:9" x14ac:dyDescent="0.35">
      <c r="A110" t="s">
        <v>208</v>
      </c>
      <c r="B110" s="16" t="s">
        <v>22</v>
      </c>
      <c r="C110" s="16" t="s">
        <v>22</v>
      </c>
      <c r="D110" s="16" t="s">
        <v>22</v>
      </c>
      <c r="E110" s="16">
        <v>782</v>
      </c>
      <c r="F110" s="16">
        <v>782</v>
      </c>
      <c r="G110" s="16" t="s">
        <v>22</v>
      </c>
      <c r="H110" s="16">
        <v>92</v>
      </c>
      <c r="I110" s="16">
        <v>874</v>
      </c>
    </row>
    <row r="111" spans="1:9" x14ac:dyDescent="0.35">
      <c r="B111" s="15">
        <v>7995</v>
      </c>
      <c r="C111" s="15">
        <v>433</v>
      </c>
      <c r="D111" s="15">
        <v>14596</v>
      </c>
      <c r="E111" s="15">
        <v>711</v>
      </c>
      <c r="F111" s="15">
        <v>23735</v>
      </c>
      <c r="G111" s="15">
        <v>13</v>
      </c>
      <c r="H111" s="15">
        <v>3043</v>
      </c>
      <c r="I111" s="15">
        <v>26791</v>
      </c>
    </row>
    <row r="112" spans="1:9" x14ac:dyDescent="0.35">
      <c r="A112" t="s">
        <v>190</v>
      </c>
      <c r="B112" s="15" t="s">
        <v>22</v>
      </c>
      <c r="C112" s="15" t="s">
        <v>22</v>
      </c>
      <c r="D112" s="15">
        <v>-2838</v>
      </c>
      <c r="E112" s="15" t="s">
        <v>22</v>
      </c>
      <c r="F112" s="15">
        <v>-2838</v>
      </c>
      <c r="G112" s="15" t="s">
        <v>22</v>
      </c>
      <c r="H112" s="15" t="s">
        <v>22</v>
      </c>
      <c r="I112" s="15">
        <v>-2838</v>
      </c>
    </row>
    <row r="113" spans="1:9" x14ac:dyDescent="0.35">
      <c r="A113" t="s">
        <v>191</v>
      </c>
      <c r="B113" s="15" t="s">
        <v>22</v>
      </c>
      <c r="C113" s="15">
        <v>12</v>
      </c>
      <c r="D113" s="15" t="s">
        <v>22</v>
      </c>
      <c r="E113" s="15" t="s">
        <v>22</v>
      </c>
      <c r="F113" s="15">
        <v>12</v>
      </c>
      <c r="G113" s="15" t="s">
        <v>22</v>
      </c>
      <c r="H113" s="15" t="s">
        <v>22</v>
      </c>
      <c r="I113" s="15">
        <v>12</v>
      </c>
    </row>
    <row r="114" spans="1:9" x14ac:dyDescent="0.35">
      <c r="A114" t="s">
        <v>209</v>
      </c>
      <c r="B114" s="16" t="s">
        <v>22</v>
      </c>
      <c r="C114" s="16" t="s">
        <v>22</v>
      </c>
      <c r="D114" s="16" t="s">
        <v>22</v>
      </c>
      <c r="E114" s="16" t="s">
        <v>22</v>
      </c>
      <c r="F114" s="16" t="s">
        <v>22</v>
      </c>
      <c r="G114" s="16">
        <v>-3</v>
      </c>
      <c r="H114" s="16" t="s">
        <v>22</v>
      </c>
      <c r="I114" s="16">
        <v>-3</v>
      </c>
    </row>
    <row r="115" spans="1:9" ht="15" thickBot="1" x14ac:dyDescent="0.4">
      <c r="A115" s="2" t="s">
        <v>167</v>
      </c>
      <c r="B115" s="17">
        <v>7995</v>
      </c>
      <c r="C115" s="17">
        <v>445</v>
      </c>
      <c r="D115" s="17">
        <v>11758</v>
      </c>
      <c r="E115" s="17">
        <v>711</v>
      </c>
      <c r="F115" s="17">
        <v>20909</v>
      </c>
      <c r="G115" s="17">
        <v>10</v>
      </c>
      <c r="H115" s="17">
        <v>3043</v>
      </c>
      <c r="I115" s="17">
        <v>23962</v>
      </c>
    </row>
    <row r="116" spans="1:9" ht="15" thickTop="1" x14ac:dyDescent="0.35"/>
    <row r="118" spans="1:9" x14ac:dyDescent="0.35">
      <c r="A118" t="s">
        <v>211</v>
      </c>
      <c r="B118" t="s">
        <v>183</v>
      </c>
      <c r="C118" t="s">
        <v>103</v>
      </c>
    </row>
    <row r="119" spans="1:9" x14ac:dyDescent="0.35">
      <c r="A119" s="2" t="s">
        <v>109</v>
      </c>
    </row>
    <row r="120" spans="1:9" x14ac:dyDescent="0.35">
      <c r="A120" t="s">
        <v>27</v>
      </c>
      <c r="B120" s="1">
        <v>3699</v>
      </c>
      <c r="C120" s="1">
        <v>2339</v>
      </c>
    </row>
    <row r="121" spans="1:9" x14ac:dyDescent="0.35">
      <c r="A121" t="s">
        <v>71</v>
      </c>
      <c r="B121" s="1">
        <v>-602</v>
      </c>
      <c r="C121" s="1">
        <v>-360</v>
      </c>
    </row>
    <row r="122" spans="1:9" x14ac:dyDescent="0.35">
      <c r="A122" t="s">
        <v>72</v>
      </c>
      <c r="B122" s="1"/>
      <c r="C122" s="1"/>
    </row>
    <row r="123" spans="1:9" x14ac:dyDescent="0.35">
      <c r="A123" t="s">
        <v>73</v>
      </c>
      <c r="B123" s="1">
        <v>6256</v>
      </c>
      <c r="C123" s="1">
        <v>9242</v>
      </c>
    </row>
    <row r="124" spans="1:9" x14ac:dyDescent="0.35">
      <c r="A124" t="s">
        <v>74</v>
      </c>
      <c r="B124" s="1">
        <v>-326</v>
      </c>
      <c r="C124" s="1">
        <v>289</v>
      </c>
    </row>
    <row r="125" spans="1:9" x14ac:dyDescent="0.35">
      <c r="A125" t="s">
        <v>75</v>
      </c>
      <c r="B125" s="1">
        <v>133</v>
      </c>
      <c r="C125" s="1">
        <v>206</v>
      </c>
    </row>
    <row r="126" spans="1:9" x14ac:dyDescent="0.35">
      <c r="A126" t="s">
        <v>76</v>
      </c>
      <c r="B126" s="1">
        <v>206</v>
      </c>
      <c r="C126" s="1">
        <v>100</v>
      </c>
    </row>
    <row r="127" spans="1:9" x14ac:dyDescent="0.35">
      <c r="A127" t="s">
        <v>77</v>
      </c>
      <c r="B127" s="1">
        <v>58</v>
      </c>
      <c r="C127" s="1">
        <v>-439</v>
      </c>
    </row>
    <row r="128" spans="1:9" x14ac:dyDescent="0.35">
      <c r="A128" t="s">
        <v>78</v>
      </c>
      <c r="B128" s="1">
        <v>-1280</v>
      </c>
      <c r="C128" s="1">
        <v>-4267</v>
      </c>
    </row>
    <row r="129" spans="1:3" x14ac:dyDescent="0.35">
      <c r="A129" t="s">
        <v>79</v>
      </c>
      <c r="B129" s="1">
        <v>31916</v>
      </c>
      <c r="C129" s="1">
        <v>24224</v>
      </c>
    </row>
    <row r="130" spans="1:3" x14ac:dyDescent="0.35">
      <c r="A130" t="s">
        <v>80</v>
      </c>
      <c r="B130" s="1">
        <v>-35642</v>
      </c>
      <c r="C130" s="1">
        <v>-27299</v>
      </c>
    </row>
    <row r="131" spans="1:3" x14ac:dyDescent="0.35">
      <c r="A131" t="s">
        <v>81</v>
      </c>
      <c r="B131" s="10">
        <v>-1071</v>
      </c>
      <c r="C131" s="10">
        <v>-199</v>
      </c>
    </row>
    <row r="132" spans="1:3" x14ac:dyDescent="0.35">
      <c r="B132" s="1">
        <v>3347</v>
      </c>
      <c r="C132" s="1">
        <v>3836</v>
      </c>
    </row>
    <row r="133" spans="1:3" x14ac:dyDescent="0.35">
      <c r="A133" s="2" t="s">
        <v>82</v>
      </c>
      <c r="B133" s="1"/>
      <c r="C133" s="1"/>
    </row>
    <row r="134" spans="1:3" x14ac:dyDescent="0.35">
      <c r="A134" t="s">
        <v>83</v>
      </c>
      <c r="B134" s="1">
        <v>-2838</v>
      </c>
      <c r="C134" s="1">
        <v>-2934</v>
      </c>
    </row>
    <row r="135" spans="1:3" x14ac:dyDescent="0.35">
      <c r="B135" s="1"/>
      <c r="C135" s="1"/>
    </row>
    <row r="136" spans="1:3" x14ac:dyDescent="0.35">
      <c r="A136" s="2" t="s">
        <v>84</v>
      </c>
      <c r="B136" s="1"/>
      <c r="C136" s="1"/>
    </row>
    <row r="137" spans="1:3" x14ac:dyDescent="0.35">
      <c r="A137" t="s">
        <v>85</v>
      </c>
      <c r="B137" s="1">
        <v>-103</v>
      </c>
      <c r="C137" s="1">
        <v>-185</v>
      </c>
    </row>
    <row r="138" spans="1:3" x14ac:dyDescent="0.35">
      <c r="A138" t="s">
        <v>110</v>
      </c>
      <c r="B138" s="10" t="s">
        <v>22</v>
      </c>
      <c r="C138" s="10">
        <v>-560</v>
      </c>
    </row>
    <row r="139" spans="1:3" x14ac:dyDescent="0.35">
      <c r="B139" s="1">
        <v>-103</v>
      </c>
      <c r="C139" s="1">
        <v>-745</v>
      </c>
    </row>
    <row r="140" spans="1:3" x14ac:dyDescent="0.35">
      <c r="A140" t="s">
        <v>99</v>
      </c>
      <c r="B140" s="1">
        <v>172</v>
      </c>
      <c r="C140" s="1">
        <v>26</v>
      </c>
    </row>
    <row r="141" spans="1:3" x14ac:dyDescent="0.35">
      <c r="A141" s="2" t="s">
        <v>100</v>
      </c>
      <c r="B141" s="1">
        <v>578</v>
      </c>
      <c r="C141" s="1">
        <v>183</v>
      </c>
    </row>
    <row r="142" spans="1:3" x14ac:dyDescent="0.35">
      <c r="A142" s="2" t="s">
        <v>88</v>
      </c>
      <c r="B142" s="10">
        <v>3944</v>
      </c>
      <c r="C142" s="10">
        <v>3761</v>
      </c>
    </row>
    <row r="143" spans="1:3" ht="15" thickBot="1" x14ac:dyDescent="0.4">
      <c r="A143" s="2" t="s">
        <v>89</v>
      </c>
      <c r="B143" s="11">
        <v>4522</v>
      </c>
      <c r="C143" s="11">
        <v>3944</v>
      </c>
    </row>
    <row r="144" spans="1:3" ht="15" thickTop="1" x14ac:dyDescent="0.35">
      <c r="A144" s="2" t="s">
        <v>90</v>
      </c>
      <c r="B144" s="1"/>
      <c r="C144" s="1"/>
    </row>
    <row r="145" spans="1:3" x14ac:dyDescent="0.35">
      <c r="A145" t="s">
        <v>91</v>
      </c>
      <c r="B145" s="1">
        <v>4675</v>
      </c>
      <c r="C145" s="1">
        <v>4210</v>
      </c>
    </row>
    <row r="146" spans="1:3" x14ac:dyDescent="0.35">
      <c r="A146" t="s">
        <v>92</v>
      </c>
      <c r="B146" s="1">
        <v>112</v>
      </c>
      <c r="C146" s="1">
        <v>112</v>
      </c>
    </row>
    <row r="147" spans="1:3" x14ac:dyDescent="0.35">
      <c r="A147" t="s">
        <v>93</v>
      </c>
      <c r="B147" s="1">
        <v>417</v>
      </c>
      <c r="C147" s="1">
        <v>400</v>
      </c>
    </row>
  </sheetData>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FCCA5-6A49-401B-BED9-DFFF76193E09}">
  <dimension ref="A2:I152"/>
  <sheetViews>
    <sheetView workbookViewId="0">
      <selection activeCell="C19" sqref="C19"/>
    </sheetView>
  </sheetViews>
  <sheetFormatPr defaultRowHeight="14.5" x14ac:dyDescent="0.35"/>
  <cols>
    <col min="1" max="1" width="75.26953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5" width="11.7265625" bestFit="1" customWidth="1"/>
  </cols>
  <sheetData>
    <row r="2" spans="1:3" x14ac:dyDescent="0.35">
      <c r="A2" t="s">
        <v>212</v>
      </c>
      <c r="B2" t="s">
        <v>103</v>
      </c>
      <c r="C2" t="s">
        <v>104</v>
      </c>
    </row>
    <row r="3" spans="1:3" x14ac:dyDescent="0.35">
      <c r="A3" s="2" t="s">
        <v>0</v>
      </c>
      <c r="B3" s="1"/>
      <c r="C3" s="1"/>
    </row>
    <row r="4" spans="1:3" x14ac:dyDescent="0.35">
      <c r="A4" t="s">
        <v>1</v>
      </c>
      <c r="B4" s="1">
        <v>24</v>
      </c>
      <c r="C4" s="1">
        <v>-91</v>
      </c>
    </row>
    <row r="5" spans="1:3" x14ac:dyDescent="0.35">
      <c r="A5" t="s">
        <v>2</v>
      </c>
      <c r="B5" s="10">
        <v>2394</v>
      </c>
      <c r="C5" s="10">
        <v>3377</v>
      </c>
    </row>
    <row r="6" spans="1:3" x14ac:dyDescent="0.35">
      <c r="A6" s="14" t="s">
        <v>3</v>
      </c>
      <c r="B6" s="10">
        <v>2418</v>
      </c>
      <c r="C6" s="10">
        <v>3286</v>
      </c>
    </row>
    <row r="7" spans="1:3" x14ac:dyDescent="0.35">
      <c r="A7" s="2"/>
      <c r="B7" s="1"/>
      <c r="C7" s="1"/>
    </row>
    <row r="8" spans="1:3" x14ac:dyDescent="0.35">
      <c r="A8" s="2" t="s">
        <v>4</v>
      </c>
      <c r="B8" s="1">
        <v>3002</v>
      </c>
      <c r="C8" s="1">
        <v>2766</v>
      </c>
    </row>
    <row r="9" spans="1:3" x14ac:dyDescent="0.35">
      <c r="A9" s="2" t="s">
        <v>5</v>
      </c>
      <c r="B9" s="1">
        <v>200</v>
      </c>
      <c r="C9" s="1">
        <v>1464</v>
      </c>
    </row>
    <row r="10" spans="1:3" x14ac:dyDescent="0.35">
      <c r="A10" s="14" t="s">
        <v>6</v>
      </c>
      <c r="B10" s="10">
        <v>2163</v>
      </c>
      <c r="C10" s="10">
        <v>1932</v>
      </c>
    </row>
    <row r="11" spans="1:3" x14ac:dyDescent="0.35">
      <c r="A11" s="2"/>
      <c r="B11" s="1"/>
      <c r="C11" s="1"/>
    </row>
    <row r="12" spans="1:3" x14ac:dyDescent="0.35">
      <c r="A12" s="2" t="s">
        <v>7</v>
      </c>
      <c r="B12" s="1">
        <v>410616</v>
      </c>
      <c r="C12" s="1">
        <v>378654</v>
      </c>
    </row>
    <row r="13" spans="1:3" x14ac:dyDescent="0.35">
      <c r="A13" s="2" t="s">
        <v>94</v>
      </c>
      <c r="B13" s="1">
        <v>499941</v>
      </c>
      <c r="C13" s="1">
        <v>444064</v>
      </c>
    </row>
    <row r="14" spans="1:3" x14ac:dyDescent="0.35">
      <c r="A14" s="2" t="s">
        <v>203</v>
      </c>
      <c r="B14" s="1">
        <v>567652</v>
      </c>
      <c r="C14" s="1">
        <v>481753</v>
      </c>
    </row>
    <row r="15" spans="1:3" x14ac:dyDescent="0.35">
      <c r="A15" s="2" t="s">
        <v>8</v>
      </c>
      <c r="B15" s="1">
        <v>12458</v>
      </c>
      <c r="C15" s="1">
        <v>12496</v>
      </c>
    </row>
    <row r="16" spans="1:3" x14ac:dyDescent="0.35">
      <c r="A16" s="2"/>
      <c r="B16" s="1"/>
      <c r="C16" s="1"/>
    </row>
    <row r="17" spans="1:3" x14ac:dyDescent="0.35">
      <c r="A17" t="s">
        <v>9</v>
      </c>
      <c r="B17" s="1">
        <v>2844</v>
      </c>
      <c r="C17" s="1">
        <v>2733</v>
      </c>
    </row>
    <row r="18" spans="1:3" x14ac:dyDescent="0.35">
      <c r="A18" t="s">
        <v>10</v>
      </c>
      <c r="B18" s="1">
        <v>16</v>
      </c>
      <c r="C18" s="1">
        <v>51</v>
      </c>
    </row>
    <row r="19" spans="1:3" x14ac:dyDescent="0.35">
      <c r="A19" t="s">
        <v>12</v>
      </c>
      <c r="B19" s="1">
        <v>19813</v>
      </c>
      <c r="C19" s="1">
        <v>20004</v>
      </c>
    </row>
    <row r="20" spans="1:3" x14ac:dyDescent="0.35">
      <c r="A20" s="2" t="s">
        <v>13</v>
      </c>
      <c r="B20" s="1">
        <v>22673</v>
      </c>
      <c r="C20" s="1">
        <v>22788</v>
      </c>
    </row>
    <row r="21" spans="1:3" x14ac:dyDescent="0.35">
      <c r="A21" t="s">
        <v>204</v>
      </c>
      <c r="B21" s="19">
        <v>1.28</v>
      </c>
      <c r="C21" s="19">
        <f>'CL 2022 (Original)'!B26</f>
        <v>1.2</v>
      </c>
    </row>
    <row r="23" spans="1:3" x14ac:dyDescent="0.35">
      <c r="A23" t="s">
        <v>213</v>
      </c>
      <c r="B23" t="s">
        <v>103</v>
      </c>
      <c r="C23" t="s">
        <v>104</v>
      </c>
    </row>
    <row r="24" spans="1:3" x14ac:dyDescent="0.35">
      <c r="C24" t="s">
        <v>101</v>
      </c>
    </row>
    <row r="25" spans="1:3" x14ac:dyDescent="0.35">
      <c r="A25" s="2" t="s">
        <v>4</v>
      </c>
    </row>
    <row r="26" spans="1:3" x14ac:dyDescent="0.35">
      <c r="A26" t="s">
        <v>240</v>
      </c>
      <c r="B26" s="1">
        <v>20188</v>
      </c>
      <c r="C26" s="1">
        <v>19424</v>
      </c>
    </row>
    <row r="27" spans="1:3" x14ac:dyDescent="0.35">
      <c r="A27" t="s">
        <v>242</v>
      </c>
      <c r="B27" s="1">
        <v>-15622</v>
      </c>
      <c r="C27" s="1">
        <v>-15110</v>
      </c>
    </row>
    <row r="28" spans="1:3" x14ac:dyDescent="0.35">
      <c r="A28" t="s">
        <v>14</v>
      </c>
      <c r="B28" s="10">
        <v>-1564</v>
      </c>
      <c r="C28" s="10">
        <v>-1548</v>
      </c>
    </row>
    <row r="29" spans="1:3" x14ac:dyDescent="0.35">
      <c r="B29" s="12">
        <v>3002</v>
      </c>
      <c r="C29" s="12">
        <v>2766</v>
      </c>
    </row>
    <row r="30" spans="1:3" x14ac:dyDescent="0.35">
      <c r="A30" s="2" t="s">
        <v>15</v>
      </c>
      <c r="B30" s="1"/>
      <c r="C30" s="1"/>
    </row>
    <row r="31" spans="1:3" x14ac:dyDescent="0.35">
      <c r="A31" t="s">
        <v>16</v>
      </c>
      <c r="B31" s="1">
        <v>4877</v>
      </c>
      <c r="C31" s="1">
        <v>4599</v>
      </c>
    </row>
    <row r="32" spans="1:3" x14ac:dyDescent="0.35">
      <c r="A32" t="s">
        <v>17</v>
      </c>
      <c r="B32" s="10">
        <v>4267</v>
      </c>
      <c r="C32" s="10">
        <v>-20289</v>
      </c>
    </row>
    <row r="33" spans="1:3" x14ac:dyDescent="0.35">
      <c r="B33" s="1">
        <v>9144</v>
      </c>
      <c r="C33" s="1">
        <v>-15690</v>
      </c>
    </row>
    <row r="34" spans="1:3" x14ac:dyDescent="0.35">
      <c r="A34" t="s">
        <v>18</v>
      </c>
      <c r="B34" s="1">
        <v>-9032</v>
      </c>
      <c r="C34" s="1">
        <v>18201</v>
      </c>
    </row>
    <row r="35" spans="1:3" x14ac:dyDescent="0.35">
      <c r="A35" t="s">
        <v>19</v>
      </c>
      <c r="B35" s="1">
        <v>266</v>
      </c>
      <c r="C35" s="1">
        <v>-1261</v>
      </c>
    </row>
    <row r="36" spans="1:3" x14ac:dyDescent="0.35">
      <c r="A36" t="s">
        <v>20</v>
      </c>
      <c r="B36" s="1">
        <v>-178</v>
      </c>
      <c r="C36" s="1">
        <v>214</v>
      </c>
    </row>
    <row r="37" spans="1:3" x14ac:dyDescent="0.35">
      <c r="B37" s="1">
        <v>200</v>
      </c>
      <c r="C37" s="1">
        <v>1464</v>
      </c>
    </row>
    <row r="38" spans="1:3" x14ac:dyDescent="0.35">
      <c r="A38" s="2" t="s">
        <v>21</v>
      </c>
      <c r="B38" s="1"/>
      <c r="C38" s="1"/>
    </row>
    <row r="39" spans="1:3" x14ac:dyDescent="0.35">
      <c r="A39" t="s">
        <v>95</v>
      </c>
      <c r="B39" s="1">
        <v>4808</v>
      </c>
      <c r="C39" s="1">
        <v>-4130</v>
      </c>
    </row>
    <row r="40" spans="1:3" x14ac:dyDescent="0.35">
      <c r="A40" t="s">
        <v>18</v>
      </c>
      <c r="B40" s="10">
        <v>-4808</v>
      </c>
      <c r="C40" s="10">
        <v>4130</v>
      </c>
    </row>
    <row r="41" spans="1:3" x14ac:dyDescent="0.35">
      <c r="B41" s="12" t="s">
        <v>22</v>
      </c>
      <c r="C41" s="12" t="s">
        <v>22</v>
      </c>
    </row>
    <row r="42" spans="1:3" x14ac:dyDescent="0.35">
      <c r="A42" s="2" t="s">
        <v>23</v>
      </c>
      <c r="B42" s="1"/>
      <c r="C42" s="1"/>
    </row>
    <row r="43" spans="1:3" x14ac:dyDescent="0.35">
      <c r="A43" t="s">
        <v>6</v>
      </c>
      <c r="B43" s="1">
        <v>2163</v>
      </c>
      <c r="C43" s="1">
        <v>1932</v>
      </c>
    </row>
    <row r="44" spans="1:3" x14ac:dyDescent="0.35">
      <c r="A44" t="s">
        <v>243</v>
      </c>
      <c r="B44" s="1">
        <v>-2635</v>
      </c>
      <c r="C44" s="1">
        <v>-2221</v>
      </c>
    </row>
    <row r="45" spans="1:3" x14ac:dyDescent="0.35">
      <c r="A45" t="s">
        <v>24</v>
      </c>
      <c r="B45" s="1">
        <v>-160</v>
      </c>
      <c r="C45" s="1">
        <v>-173</v>
      </c>
    </row>
    <row r="46" spans="1:3" x14ac:dyDescent="0.35">
      <c r="A46" t="s">
        <v>25</v>
      </c>
      <c r="B46" s="1">
        <v>-105</v>
      </c>
      <c r="C46" s="1">
        <v>-104</v>
      </c>
    </row>
    <row r="47" spans="1:3" x14ac:dyDescent="0.35">
      <c r="A47" t="s">
        <v>96</v>
      </c>
      <c r="B47" s="10">
        <v>-126</v>
      </c>
      <c r="C47" s="10" t="s">
        <v>22</v>
      </c>
    </row>
    <row r="48" spans="1:3" x14ac:dyDescent="0.35">
      <c r="A48" s="2" t="s">
        <v>27</v>
      </c>
      <c r="B48" s="1">
        <v>2339</v>
      </c>
      <c r="C48" s="1">
        <v>3664</v>
      </c>
    </row>
    <row r="49" spans="1:4" x14ac:dyDescent="0.35">
      <c r="A49" t="s">
        <v>28</v>
      </c>
      <c r="B49" s="1">
        <v>-80</v>
      </c>
      <c r="C49" s="1">
        <v>375</v>
      </c>
    </row>
    <row r="50" spans="1:4" x14ac:dyDescent="0.35">
      <c r="A50" s="2" t="s">
        <v>29</v>
      </c>
      <c r="B50" s="1">
        <v>2419</v>
      </c>
      <c r="C50" s="1">
        <v>3289</v>
      </c>
    </row>
    <row r="51" spans="1:4" x14ac:dyDescent="0.35">
      <c r="A51" t="s">
        <v>30</v>
      </c>
      <c r="B51" s="10">
        <v>1</v>
      </c>
      <c r="C51" s="10">
        <v>3</v>
      </c>
    </row>
    <row r="52" spans="1:4" x14ac:dyDescent="0.35">
      <c r="A52" s="2" t="s">
        <v>3</v>
      </c>
      <c r="B52" s="1">
        <v>2418</v>
      </c>
      <c r="C52" s="1">
        <v>3286</v>
      </c>
    </row>
    <row r="53" spans="1:4" x14ac:dyDescent="0.35">
      <c r="A53" t="s">
        <v>102</v>
      </c>
      <c r="B53" s="10">
        <v>24</v>
      </c>
      <c r="C53" s="10">
        <v>-91</v>
      </c>
    </row>
    <row r="54" spans="1:4" ht="15" thickBot="1" x14ac:dyDescent="0.4">
      <c r="A54" s="2" t="s">
        <v>32</v>
      </c>
      <c r="B54" s="11">
        <v>2394</v>
      </c>
      <c r="C54" s="11">
        <v>3377</v>
      </c>
    </row>
    <row r="55" spans="1:4" ht="15" thickTop="1" x14ac:dyDescent="0.35"/>
    <row r="57" spans="1:4" x14ac:dyDescent="0.35">
      <c r="A57" t="s">
        <v>214</v>
      </c>
      <c r="B57" t="s">
        <v>103</v>
      </c>
      <c r="C57" t="s">
        <v>104</v>
      </c>
      <c r="D57" t="s">
        <v>215</v>
      </c>
    </row>
    <row r="58" spans="1:4" x14ac:dyDescent="0.35">
      <c r="C58" t="s">
        <v>101</v>
      </c>
      <c r="D58" t="s">
        <v>101</v>
      </c>
    </row>
    <row r="59" spans="1:4" x14ac:dyDescent="0.35">
      <c r="A59" s="2" t="s">
        <v>105</v>
      </c>
    </row>
    <row r="60" spans="1:4" x14ac:dyDescent="0.35">
      <c r="A60" t="s">
        <v>244</v>
      </c>
      <c r="B60" s="1">
        <v>3944</v>
      </c>
      <c r="C60" s="1">
        <v>3761</v>
      </c>
      <c r="D60" s="1">
        <v>3271</v>
      </c>
    </row>
    <row r="61" spans="1:4" x14ac:dyDescent="0.35">
      <c r="A61" t="s">
        <v>34</v>
      </c>
      <c r="B61" s="1">
        <v>91904</v>
      </c>
      <c r="C61" s="1">
        <v>85947</v>
      </c>
      <c r="D61" s="1">
        <v>103172</v>
      </c>
    </row>
    <row r="62" spans="1:4" x14ac:dyDescent="0.35">
      <c r="A62" t="s">
        <v>35</v>
      </c>
      <c r="B62" s="1">
        <v>24449</v>
      </c>
      <c r="C62" s="1">
        <v>22843</v>
      </c>
      <c r="D62" s="1">
        <v>23540</v>
      </c>
    </row>
    <row r="63" spans="1:4" x14ac:dyDescent="0.35">
      <c r="A63" t="s">
        <v>36</v>
      </c>
      <c r="B63" s="1">
        <v>13589</v>
      </c>
      <c r="C63" s="1">
        <v>12679</v>
      </c>
      <c r="D63" s="1">
        <v>13268</v>
      </c>
    </row>
    <row r="64" spans="1:4" x14ac:dyDescent="0.35">
      <c r="A64" t="s">
        <v>37</v>
      </c>
      <c r="B64" s="10">
        <v>7849</v>
      </c>
      <c r="C64" s="10">
        <v>8315</v>
      </c>
      <c r="D64" s="10">
        <v>7759</v>
      </c>
    </row>
    <row r="65" spans="1:4" x14ac:dyDescent="0.35">
      <c r="B65" s="1">
        <v>141735</v>
      </c>
      <c r="C65" s="1">
        <v>133545</v>
      </c>
      <c r="D65" s="1">
        <v>151010</v>
      </c>
    </row>
    <row r="67" spans="1:4" x14ac:dyDescent="0.35">
      <c r="A67" t="s">
        <v>38</v>
      </c>
      <c r="B67" s="1">
        <v>902</v>
      </c>
      <c r="C67" s="1">
        <v>886</v>
      </c>
      <c r="D67" s="1">
        <v>1311</v>
      </c>
    </row>
    <row r="68" spans="1:4" x14ac:dyDescent="0.35">
      <c r="A68" t="s">
        <v>39</v>
      </c>
      <c r="B68" s="1">
        <v>6546</v>
      </c>
      <c r="C68" s="1">
        <v>6709</v>
      </c>
      <c r="D68" s="1">
        <v>9056</v>
      </c>
    </row>
    <row r="69" spans="1:4" x14ac:dyDescent="0.35">
      <c r="A69" t="s">
        <v>40</v>
      </c>
      <c r="B69" s="1">
        <v>7072</v>
      </c>
      <c r="C69" s="1">
        <v>6372</v>
      </c>
      <c r="D69" s="1">
        <v>6408</v>
      </c>
    </row>
    <row r="70" spans="1:4" x14ac:dyDescent="0.35">
      <c r="A70" t="s">
        <v>41</v>
      </c>
      <c r="B70" s="1">
        <v>2484</v>
      </c>
      <c r="C70" s="1">
        <v>2470</v>
      </c>
      <c r="D70" s="1">
        <v>2362</v>
      </c>
    </row>
    <row r="71" spans="1:4" x14ac:dyDescent="0.35">
      <c r="A71" t="s">
        <v>42</v>
      </c>
      <c r="B71" s="1">
        <v>1486</v>
      </c>
      <c r="C71" s="1">
        <v>1120</v>
      </c>
      <c r="D71" s="1">
        <v>582</v>
      </c>
    </row>
    <row r="72" spans="1:4" x14ac:dyDescent="0.35">
      <c r="A72" t="s">
        <v>43</v>
      </c>
      <c r="B72" s="1">
        <v>544</v>
      </c>
      <c r="C72" s="1">
        <v>532</v>
      </c>
      <c r="D72" s="1">
        <v>552</v>
      </c>
    </row>
    <row r="73" spans="1:4" x14ac:dyDescent="0.35">
      <c r="A73" t="s">
        <v>44</v>
      </c>
      <c r="B73" s="1">
        <v>252</v>
      </c>
      <c r="C73" s="1">
        <v>257</v>
      </c>
      <c r="D73" s="1">
        <v>288</v>
      </c>
    </row>
    <row r="74" spans="1:4" x14ac:dyDescent="0.35">
      <c r="A74" t="s">
        <v>45</v>
      </c>
      <c r="B74" s="1">
        <v>3117</v>
      </c>
      <c r="C74" s="1">
        <v>2312</v>
      </c>
      <c r="D74" s="1">
        <v>2064</v>
      </c>
    </row>
    <row r="75" spans="1:4" x14ac:dyDescent="0.35">
      <c r="A75" t="s">
        <v>46</v>
      </c>
      <c r="B75" s="1">
        <v>2344</v>
      </c>
      <c r="C75" s="1">
        <v>2108</v>
      </c>
      <c r="D75" s="1">
        <v>1836</v>
      </c>
    </row>
    <row r="76" spans="1:4" x14ac:dyDescent="0.35">
      <c r="A76" t="s">
        <v>47</v>
      </c>
      <c r="B76" s="1">
        <v>144</v>
      </c>
      <c r="C76" s="1">
        <v>256</v>
      </c>
      <c r="D76" s="1">
        <v>242</v>
      </c>
    </row>
    <row r="77" spans="1:4" x14ac:dyDescent="0.35">
      <c r="A77" t="s">
        <v>48</v>
      </c>
      <c r="B77" s="1">
        <v>804</v>
      </c>
      <c r="C77" s="1">
        <v>479</v>
      </c>
      <c r="D77" s="1">
        <v>478</v>
      </c>
    </row>
    <row r="78" spans="1:4" x14ac:dyDescent="0.35">
      <c r="A78" t="s">
        <v>49</v>
      </c>
      <c r="B78" s="10">
        <v>243186</v>
      </c>
      <c r="C78" s="10">
        <v>221608</v>
      </c>
      <c r="D78" s="10">
        <v>240500</v>
      </c>
    </row>
    <row r="79" spans="1:4" ht="15" thickBot="1" x14ac:dyDescent="0.4">
      <c r="A79" s="2" t="s">
        <v>7</v>
      </c>
      <c r="B79" s="11">
        <v>410616</v>
      </c>
      <c r="C79" s="11">
        <v>378654</v>
      </c>
      <c r="D79" s="11">
        <v>416689</v>
      </c>
    </row>
    <row r="80" spans="1:4" ht="15" thickTop="1" x14ac:dyDescent="0.35">
      <c r="A80" s="2"/>
    </row>
    <row r="81" spans="1:4" x14ac:dyDescent="0.35">
      <c r="A81" s="2" t="s">
        <v>50</v>
      </c>
      <c r="B81" s="1"/>
      <c r="C81" s="1"/>
      <c r="D81" s="1"/>
    </row>
    <row r="82" spans="1:4" x14ac:dyDescent="0.35">
      <c r="A82" t="s">
        <v>51</v>
      </c>
      <c r="B82" s="1">
        <v>129689</v>
      </c>
      <c r="C82" s="1">
        <v>120503</v>
      </c>
      <c r="D82" s="1">
        <v>140639</v>
      </c>
    </row>
    <row r="83" spans="1:4" x14ac:dyDescent="0.35">
      <c r="A83" t="s">
        <v>52</v>
      </c>
      <c r="B83" s="1">
        <v>4953</v>
      </c>
      <c r="C83" s="1">
        <v>4672</v>
      </c>
      <c r="D83" s="1">
        <v>4520</v>
      </c>
    </row>
    <row r="84" spans="1:4" x14ac:dyDescent="0.35">
      <c r="A84" t="s">
        <v>53</v>
      </c>
      <c r="B84" s="1">
        <v>475</v>
      </c>
      <c r="C84" s="1">
        <v>326</v>
      </c>
      <c r="D84" s="1">
        <v>986</v>
      </c>
    </row>
    <row r="85" spans="1:4" x14ac:dyDescent="0.35">
      <c r="A85" t="s">
        <v>245</v>
      </c>
      <c r="B85" s="1">
        <v>748</v>
      </c>
      <c r="C85" s="1">
        <v>747</v>
      </c>
      <c r="D85" s="1">
        <v>745</v>
      </c>
    </row>
    <row r="86" spans="1:4" x14ac:dyDescent="0.35">
      <c r="A86" t="s">
        <v>54</v>
      </c>
      <c r="B86" s="1">
        <v>1000</v>
      </c>
      <c r="C86" s="1">
        <v>1000</v>
      </c>
      <c r="D86" s="1">
        <v>1000</v>
      </c>
    </row>
    <row r="87" spans="1:4" x14ac:dyDescent="0.35">
      <c r="A87" t="s">
        <v>42</v>
      </c>
      <c r="B87" s="1">
        <v>1208</v>
      </c>
      <c r="C87" s="1">
        <v>1575</v>
      </c>
      <c r="D87" s="1">
        <v>1005</v>
      </c>
    </row>
    <row r="88" spans="1:4" x14ac:dyDescent="0.35">
      <c r="A88" t="s">
        <v>55</v>
      </c>
      <c r="B88" s="1">
        <v>1672</v>
      </c>
      <c r="C88" s="1">
        <v>1612</v>
      </c>
      <c r="D88" s="1">
        <v>1385</v>
      </c>
    </row>
    <row r="89" spans="1:4" x14ac:dyDescent="0.35">
      <c r="A89" t="s">
        <v>56</v>
      </c>
      <c r="B89" s="1">
        <v>4401</v>
      </c>
      <c r="C89" s="1">
        <v>3070</v>
      </c>
      <c r="D89" s="1">
        <v>3400</v>
      </c>
    </row>
    <row r="90" spans="1:4" x14ac:dyDescent="0.35">
      <c r="A90" t="s">
        <v>47</v>
      </c>
      <c r="B90" s="1">
        <v>97</v>
      </c>
      <c r="C90" s="1">
        <v>52</v>
      </c>
      <c r="D90" s="1">
        <v>160</v>
      </c>
    </row>
    <row r="91" spans="1:4" x14ac:dyDescent="0.35">
      <c r="A91" t="s">
        <v>57</v>
      </c>
      <c r="B91" s="1">
        <v>514</v>
      </c>
      <c r="C91" s="1">
        <v>701</v>
      </c>
      <c r="D91" s="1">
        <v>619</v>
      </c>
    </row>
    <row r="92" spans="1:4" x14ac:dyDescent="0.35">
      <c r="A92" t="s">
        <v>58</v>
      </c>
      <c r="B92" s="1">
        <v>47410</v>
      </c>
      <c r="C92" s="1">
        <v>45409</v>
      </c>
      <c r="D92" s="1">
        <v>50831</v>
      </c>
    </row>
    <row r="93" spans="1:4" x14ac:dyDescent="0.35">
      <c r="A93" t="s">
        <v>59</v>
      </c>
      <c r="B93" s="10">
        <v>195776</v>
      </c>
      <c r="C93" s="10">
        <v>176199</v>
      </c>
      <c r="D93" s="10">
        <v>189669</v>
      </c>
    </row>
    <row r="94" spans="1:4" x14ac:dyDescent="0.35">
      <c r="A94" s="2" t="s">
        <v>60</v>
      </c>
      <c r="B94" s="1">
        <v>387943</v>
      </c>
      <c r="C94" s="1">
        <v>355866</v>
      </c>
      <c r="D94" s="1">
        <v>394959</v>
      </c>
    </row>
    <row r="95" spans="1:4" x14ac:dyDescent="0.35">
      <c r="A95" s="2" t="s">
        <v>61</v>
      </c>
      <c r="B95" s="1"/>
      <c r="C95" s="1"/>
      <c r="D95" s="1"/>
    </row>
    <row r="96" spans="1:4" x14ac:dyDescent="0.35">
      <c r="A96" t="s">
        <v>62</v>
      </c>
      <c r="B96" s="1">
        <v>2844</v>
      </c>
      <c r="C96" s="1">
        <v>2733</v>
      </c>
      <c r="D96" s="1">
        <v>2985</v>
      </c>
    </row>
    <row r="97" spans="1:9" x14ac:dyDescent="0.35">
      <c r="A97" t="s">
        <v>63</v>
      </c>
      <c r="B97" s="1">
        <v>16</v>
      </c>
      <c r="C97" s="1">
        <v>51</v>
      </c>
      <c r="D97" s="1">
        <v>26</v>
      </c>
    </row>
    <row r="98" spans="1:9" x14ac:dyDescent="0.35">
      <c r="A98" t="s">
        <v>106</v>
      </c>
      <c r="B98" s="1"/>
      <c r="C98" s="1"/>
      <c r="D98" s="1"/>
    </row>
    <row r="99" spans="1:9" x14ac:dyDescent="0.35">
      <c r="A99" t="s">
        <v>65</v>
      </c>
      <c r="B99" s="1"/>
      <c r="C99" s="1"/>
      <c r="D99" s="1"/>
    </row>
    <row r="100" spans="1:9" x14ac:dyDescent="0.35">
      <c r="A100" t="s">
        <v>66</v>
      </c>
      <c r="B100" s="1">
        <v>7995</v>
      </c>
      <c r="C100" s="1">
        <v>7884</v>
      </c>
      <c r="D100" s="1">
        <v>7884</v>
      </c>
    </row>
    <row r="101" spans="1:9" x14ac:dyDescent="0.35">
      <c r="A101" t="s">
        <v>67</v>
      </c>
      <c r="B101" s="1">
        <v>11456</v>
      </c>
      <c r="C101" s="1">
        <v>12054</v>
      </c>
      <c r="D101" s="1">
        <v>10439</v>
      </c>
    </row>
    <row r="102" spans="1:9" x14ac:dyDescent="0.35">
      <c r="A102" t="s">
        <v>107</v>
      </c>
      <c r="B102" s="1">
        <v>-71</v>
      </c>
      <c r="C102" s="1">
        <v>-359</v>
      </c>
      <c r="D102" s="1">
        <v>-23</v>
      </c>
    </row>
    <row r="103" spans="1:9" x14ac:dyDescent="0.35">
      <c r="A103" t="s">
        <v>69</v>
      </c>
      <c r="B103" s="10">
        <v>433</v>
      </c>
      <c r="C103" s="10">
        <v>425</v>
      </c>
      <c r="D103" s="10">
        <v>419</v>
      </c>
    </row>
    <row r="104" spans="1:9" x14ac:dyDescent="0.35">
      <c r="A104" s="2" t="s">
        <v>13</v>
      </c>
      <c r="B104" s="12">
        <v>22673</v>
      </c>
      <c r="C104" s="12">
        <v>22788</v>
      </c>
      <c r="D104" s="12">
        <v>21730</v>
      </c>
    </row>
    <row r="105" spans="1:9" ht="15" thickBot="1" x14ac:dyDescent="0.4">
      <c r="A105" s="2" t="s">
        <v>70</v>
      </c>
      <c r="B105" s="11">
        <v>410616</v>
      </c>
      <c r="C105" s="11">
        <v>378654</v>
      </c>
      <c r="D105" s="11">
        <v>416689</v>
      </c>
    </row>
    <row r="106" spans="1:9" ht="15" thickTop="1" x14ac:dyDescent="0.35"/>
    <row r="108" spans="1:9" x14ac:dyDescent="0.35">
      <c r="A108" t="s">
        <v>216</v>
      </c>
      <c r="B108" t="s">
        <v>65</v>
      </c>
      <c r="C108" t="s">
        <v>69</v>
      </c>
      <c r="D108" t="s">
        <v>67</v>
      </c>
      <c r="E108" t="s">
        <v>222</v>
      </c>
      <c r="F108" t="s">
        <v>223</v>
      </c>
      <c r="G108" t="s">
        <v>10</v>
      </c>
      <c r="H108" t="s">
        <v>9</v>
      </c>
      <c r="I108" t="s">
        <v>13</v>
      </c>
    </row>
    <row r="109" spans="1:9" x14ac:dyDescent="0.35">
      <c r="A109" s="2" t="s">
        <v>217</v>
      </c>
      <c r="B109" s="15">
        <v>7884</v>
      </c>
      <c r="C109" s="15">
        <v>425</v>
      </c>
      <c r="D109" s="15">
        <v>12054</v>
      </c>
      <c r="E109" s="15" t="s">
        <v>108</v>
      </c>
      <c r="F109" s="15">
        <v>20004</v>
      </c>
      <c r="G109" s="15">
        <v>51</v>
      </c>
      <c r="H109" s="15">
        <v>2733</v>
      </c>
      <c r="I109" s="15">
        <v>22788</v>
      </c>
    </row>
    <row r="110" spans="1:9" x14ac:dyDescent="0.35">
      <c r="A110" t="s">
        <v>218</v>
      </c>
      <c r="B110" s="16" t="s">
        <v>22</v>
      </c>
      <c r="C110" s="16" t="s">
        <v>22</v>
      </c>
      <c r="D110" s="16">
        <v>-31</v>
      </c>
      <c r="E110" s="16" t="s">
        <v>22</v>
      </c>
      <c r="F110" s="16">
        <v>-31</v>
      </c>
      <c r="G110" s="16" t="s">
        <v>22</v>
      </c>
      <c r="H110" s="16" t="s">
        <v>22</v>
      </c>
      <c r="I110" s="16">
        <v>-31</v>
      </c>
    </row>
    <row r="111" spans="1:9" x14ac:dyDescent="0.35">
      <c r="A111" t="s">
        <v>219</v>
      </c>
      <c r="B111" s="15">
        <v>7884</v>
      </c>
      <c r="C111" s="15">
        <v>425</v>
      </c>
      <c r="D111" s="15">
        <v>12023</v>
      </c>
      <c r="E111" s="15">
        <v>-359</v>
      </c>
      <c r="F111" s="15">
        <v>19973</v>
      </c>
      <c r="G111" s="15">
        <v>51</v>
      </c>
      <c r="H111" s="15">
        <v>2733</v>
      </c>
      <c r="I111" s="15">
        <v>22757</v>
      </c>
    </row>
    <row r="112" spans="1:9" x14ac:dyDescent="0.35">
      <c r="A112" t="s">
        <v>3</v>
      </c>
      <c r="B112" s="15" t="s">
        <v>22</v>
      </c>
      <c r="C112" s="15" t="s">
        <v>22</v>
      </c>
      <c r="D112" s="15">
        <v>2394</v>
      </c>
      <c r="E112" s="15" t="s">
        <v>22</v>
      </c>
      <c r="F112" s="15">
        <v>2394</v>
      </c>
      <c r="G112" s="15">
        <v>1</v>
      </c>
      <c r="H112" s="15">
        <v>24</v>
      </c>
      <c r="I112" s="15">
        <v>2419</v>
      </c>
    </row>
    <row r="113" spans="1:9" x14ac:dyDescent="0.35">
      <c r="A113" t="s">
        <v>189</v>
      </c>
      <c r="B113" s="16" t="s">
        <v>22</v>
      </c>
      <c r="C113" s="16" t="s">
        <v>22</v>
      </c>
      <c r="D113" s="16" t="s">
        <v>22</v>
      </c>
      <c r="E113" s="16">
        <v>288</v>
      </c>
      <c r="F113" s="16">
        <v>288</v>
      </c>
      <c r="G113" s="16" t="s">
        <v>22</v>
      </c>
      <c r="H113" s="16">
        <v>87</v>
      </c>
      <c r="I113" s="16">
        <v>375</v>
      </c>
    </row>
    <row r="114" spans="1:9" x14ac:dyDescent="0.35">
      <c r="B114" s="15">
        <v>7884</v>
      </c>
      <c r="C114" s="15">
        <v>425</v>
      </c>
      <c r="D114" s="15">
        <v>14417</v>
      </c>
      <c r="E114" s="15">
        <v>-71</v>
      </c>
      <c r="F114" s="15">
        <v>22655</v>
      </c>
      <c r="G114" s="15">
        <v>52</v>
      </c>
      <c r="H114" s="15">
        <v>2844</v>
      </c>
      <c r="I114" s="15">
        <v>25551</v>
      </c>
    </row>
    <row r="115" spans="1:9" x14ac:dyDescent="0.35">
      <c r="A115" t="s">
        <v>190</v>
      </c>
      <c r="B115" s="15" t="s">
        <v>22</v>
      </c>
      <c r="C115" s="15" t="s">
        <v>22</v>
      </c>
      <c r="D115" s="15">
        <v>-2934</v>
      </c>
      <c r="E115" s="15" t="s">
        <v>22</v>
      </c>
      <c r="F115" s="15">
        <v>-2934</v>
      </c>
      <c r="G115" s="15" t="s">
        <v>22</v>
      </c>
      <c r="H115" s="15" t="s">
        <v>22</v>
      </c>
      <c r="I115" s="15">
        <v>-2934</v>
      </c>
    </row>
    <row r="116" spans="1:9" x14ac:dyDescent="0.35">
      <c r="A116" t="s">
        <v>191</v>
      </c>
      <c r="B116" s="15" t="s">
        <v>22</v>
      </c>
      <c r="C116" s="15">
        <v>8</v>
      </c>
      <c r="D116" s="15" t="s">
        <v>22</v>
      </c>
      <c r="E116" s="15" t="s">
        <v>22</v>
      </c>
      <c r="F116" s="15">
        <v>8</v>
      </c>
      <c r="G116" s="15" t="s">
        <v>22</v>
      </c>
      <c r="H116" s="15" t="s">
        <v>22</v>
      </c>
      <c r="I116" s="15">
        <v>8</v>
      </c>
    </row>
    <row r="117" spans="1:9" x14ac:dyDescent="0.35">
      <c r="A117" t="s">
        <v>220</v>
      </c>
      <c r="B117" s="15">
        <v>111</v>
      </c>
      <c r="C117" s="15" t="s">
        <v>22</v>
      </c>
      <c r="D117" s="15" t="s">
        <v>22</v>
      </c>
      <c r="E117" s="15" t="s">
        <v>22</v>
      </c>
      <c r="F117" s="15">
        <v>111</v>
      </c>
      <c r="G117" s="15" t="s">
        <v>22</v>
      </c>
      <c r="H117" s="15" t="s">
        <v>22</v>
      </c>
      <c r="I117" s="15">
        <v>111</v>
      </c>
    </row>
    <row r="118" spans="1:9" x14ac:dyDescent="0.35">
      <c r="A118" t="s">
        <v>221</v>
      </c>
      <c r="B118" s="16" t="s">
        <v>22</v>
      </c>
      <c r="C118" s="16" t="s">
        <v>22</v>
      </c>
      <c r="D118" s="16">
        <v>-27</v>
      </c>
      <c r="E118" s="16" t="s">
        <v>22</v>
      </c>
      <c r="F118" s="16">
        <v>-27</v>
      </c>
      <c r="G118" s="16">
        <v>-36</v>
      </c>
      <c r="H118" s="16" t="s">
        <v>22</v>
      </c>
      <c r="I118" s="16">
        <v>-63</v>
      </c>
    </row>
    <row r="119" spans="1:9" ht="15" thickBot="1" x14ac:dyDescent="0.4">
      <c r="A119" s="2" t="s">
        <v>167</v>
      </c>
      <c r="B119" s="17">
        <v>7995</v>
      </c>
      <c r="C119" s="17">
        <v>433</v>
      </c>
      <c r="D119" s="17">
        <v>11456</v>
      </c>
      <c r="E119" s="17" t="s">
        <v>98</v>
      </c>
      <c r="F119" s="17">
        <v>19813</v>
      </c>
      <c r="G119" s="17">
        <v>16</v>
      </c>
      <c r="H119" s="17">
        <v>2844</v>
      </c>
      <c r="I119" s="17">
        <v>22673</v>
      </c>
    </row>
    <row r="120" spans="1:9" ht="15" thickTop="1" x14ac:dyDescent="0.35"/>
    <row r="122" spans="1:9" x14ac:dyDescent="0.35">
      <c r="A122" t="s">
        <v>224</v>
      </c>
      <c r="B122" t="s">
        <v>103</v>
      </c>
      <c r="C122" t="s">
        <v>104</v>
      </c>
    </row>
    <row r="123" spans="1:9" x14ac:dyDescent="0.35">
      <c r="C123" t="s">
        <v>101</v>
      </c>
    </row>
    <row r="124" spans="1:9" x14ac:dyDescent="0.35">
      <c r="A124" s="2" t="s">
        <v>109</v>
      </c>
    </row>
    <row r="125" spans="1:9" x14ac:dyDescent="0.35">
      <c r="A125" t="s">
        <v>27</v>
      </c>
      <c r="B125">
        <v>2339</v>
      </c>
      <c r="C125">
        <v>3664</v>
      </c>
    </row>
    <row r="126" spans="1:9" x14ac:dyDescent="0.35">
      <c r="A126" t="s">
        <v>71</v>
      </c>
      <c r="B126">
        <v>-360</v>
      </c>
      <c r="C126">
        <v>-326</v>
      </c>
    </row>
    <row r="127" spans="1:9" x14ac:dyDescent="0.35">
      <c r="A127" t="s">
        <v>72</v>
      </c>
    </row>
    <row r="128" spans="1:9" x14ac:dyDescent="0.35">
      <c r="A128" t="s">
        <v>73</v>
      </c>
      <c r="B128">
        <v>9242</v>
      </c>
      <c r="C128">
        <v>-20136</v>
      </c>
    </row>
    <row r="129" spans="1:3" x14ac:dyDescent="0.35">
      <c r="A129" t="s">
        <v>74</v>
      </c>
      <c r="B129">
        <v>289</v>
      </c>
      <c r="C129">
        <v>111</v>
      </c>
    </row>
    <row r="130" spans="1:3" x14ac:dyDescent="0.35">
      <c r="A130" t="s">
        <v>75</v>
      </c>
      <c r="B130">
        <v>206</v>
      </c>
      <c r="C130">
        <v>-1123</v>
      </c>
    </row>
    <row r="131" spans="1:3" x14ac:dyDescent="0.35">
      <c r="A131" t="s">
        <v>76</v>
      </c>
      <c r="B131">
        <v>100</v>
      </c>
      <c r="C131">
        <v>2899</v>
      </c>
    </row>
    <row r="132" spans="1:3" x14ac:dyDescent="0.35">
      <c r="A132" t="s">
        <v>77</v>
      </c>
      <c r="B132">
        <v>-439</v>
      </c>
      <c r="C132">
        <v>1185</v>
      </c>
    </row>
    <row r="133" spans="1:3" x14ac:dyDescent="0.35">
      <c r="A133" t="s">
        <v>78</v>
      </c>
      <c r="B133">
        <v>-4267</v>
      </c>
      <c r="C133">
        <v>20289</v>
      </c>
    </row>
    <row r="134" spans="1:3" x14ac:dyDescent="0.35">
      <c r="A134" t="s">
        <v>79</v>
      </c>
      <c r="B134">
        <v>24224</v>
      </c>
      <c r="C134">
        <v>22296</v>
      </c>
    </row>
    <row r="135" spans="1:3" x14ac:dyDescent="0.35">
      <c r="A135" t="s">
        <v>80</v>
      </c>
      <c r="B135">
        <v>-27299</v>
      </c>
      <c r="C135">
        <v>-26138</v>
      </c>
    </row>
    <row r="136" spans="1:3" x14ac:dyDescent="0.35">
      <c r="A136" t="s">
        <v>81</v>
      </c>
      <c r="B136" s="5">
        <v>-199</v>
      </c>
      <c r="C136" s="5">
        <v>-378</v>
      </c>
    </row>
    <row r="137" spans="1:3" x14ac:dyDescent="0.35">
      <c r="B137">
        <v>3836</v>
      </c>
      <c r="C137">
        <v>2343</v>
      </c>
    </row>
    <row r="138" spans="1:3" x14ac:dyDescent="0.35">
      <c r="A138" s="2" t="s">
        <v>82</v>
      </c>
    </row>
    <row r="139" spans="1:3" x14ac:dyDescent="0.35">
      <c r="A139" t="s">
        <v>83</v>
      </c>
      <c r="B139">
        <v>-2934</v>
      </c>
      <c r="C139">
        <v>-1770</v>
      </c>
    </row>
    <row r="141" spans="1:3" x14ac:dyDescent="0.35">
      <c r="A141" s="2" t="s">
        <v>84</v>
      </c>
    </row>
    <row r="142" spans="1:3" x14ac:dyDescent="0.35">
      <c r="A142" t="s">
        <v>85</v>
      </c>
      <c r="B142">
        <v>-185</v>
      </c>
      <c r="C142">
        <v>-63</v>
      </c>
    </row>
    <row r="143" spans="1:3" x14ac:dyDescent="0.35">
      <c r="A143" t="s">
        <v>110</v>
      </c>
      <c r="B143">
        <v>-560</v>
      </c>
      <c r="C143">
        <v>-6</v>
      </c>
    </row>
    <row r="144" spans="1:3" x14ac:dyDescent="0.35">
      <c r="B144">
        <v>-745</v>
      </c>
      <c r="C144">
        <v>-69</v>
      </c>
    </row>
    <row r="145" spans="1:3" x14ac:dyDescent="0.35">
      <c r="A145" t="s">
        <v>86</v>
      </c>
      <c r="B145">
        <v>26</v>
      </c>
      <c r="C145">
        <v>-14</v>
      </c>
    </row>
    <row r="146" spans="1:3" x14ac:dyDescent="0.35">
      <c r="A146" s="2" t="s">
        <v>87</v>
      </c>
      <c r="B146">
        <v>183</v>
      </c>
      <c r="C146">
        <v>490</v>
      </c>
    </row>
    <row r="147" spans="1:3" x14ac:dyDescent="0.35">
      <c r="A147" s="2" t="s">
        <v>88</v>
      </c>
      <c r="B147" s="5">
        <v>3761</v>
      </c>
      <c r="C147" s="5">
        <v>3271</v>
      </c>
    </row>
    <row r="148" spans="1:3" ht="15" thickBot="1" x14ac:dyDescent="0.4">
      <c r="A148" s="2" t="s">
        <v>89</v>
      </c>
      <c r="B148" s="18">
        <v>3944</v>
      </c>
      <c r="C148" s="18">
        <v>3761</v>
      </c>
    </row>
    <row r="149" spans="1:3" ht="15" thickTop="1" x14ac:dyDescent="0.35">
      <c r="A149" s="2" t="s">
        <v>90</v>
      </c>
    </row>
    <row r="150" spans="1:3" x14ac:dyDescent="0.35">
      <c r="A150" t="s">
        <v>91</v>
      </c>
      <c r="B150">
        <v>4210</v>
      </c>
      <c r="C150">
        <v>3661</v>
      </c>
    </row>
    <row r="151" spans="1:3" x14ac:dyDescent="0.35">
      <c r="A151" t="s">
        <v>92</v>
      </c>
      <c r="B151">
        <v>112</v>
      </c>
      <c r="C151">
        <v>116</v>
      </c>
    </row>
    <row r="152" spans="1:3" x14ac:dyDescent="0.35">
      <c r="A152" t="s">
        <v>93</v>
      </c>
      <c r="B152">
        <v>400</v>
      </c>
      <c r="C152">
        <v>352</v>
      </c>
    </row>
  </sheetData>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D5133-98AA-4512-933E-B6916CD461DE}">
  <dimension ref="A2:I161"/>
  <sheetViews>
    <sheetView workbookViewId="0">
      <selection activeCell="D8" sqref="D8"/>
    </sheetView>
  </sheetViews>
  <sheetFormatPr defaultRowHeight="14.5" x14ac:dyDescent="0.35"/>
  <cols>
    <col min="1" max="1" width="74.453125" bestFit="1" customWidth="1"/>
    <col min="2" max="2" width="14.08984375" bestFit="1" customWidth="1"/>
    <col min="3" max="3" width="20" bestFit="1" customWidth="1"/>
    <col min="4" max="4" width="21.08984375" bestFit="1" customWidth="1"/>
    <col min="5" max="5" width="53.90625" bestFit="1" customWidth="1"/>
    <col min="6" max="6" width="24.90625" bestFit="1" customWidth="1"/>
    <col min="7" max="7" width="24.08984375" bestFit="1" customWidth="1"/>
    <col min="8" max="8" width="28" bestFit="1" customWidth="1"/>
    <col min="9" max="9" width="25.6328125" bestFit="1" customWidth="1"/>
    <col min="10" max="10" width="11.7265625" bestFit="1" customWidth="1"/>
    <col min="11" max="11" width="24.08984375" bestFit="1" customWidth="1"/>
    <col min="12" max="12" width="11.7265625" bestFit="1" customWidth="1"/>
    <col min="13" max="13" width="24.54296875" bestFit="1" customWidth="1"/>
    <col min="14" max="14" width="11.7265625" bestFit="1" customWidth="1"/>
    <col min="15" max="15" width="28.90625" bestFit="1" customWidth="1"/>
    <col min="16" max="16" width="11.7265625" bestFit="1" customWidth="1"/>
    <col min="17" max="17" width="13.26953125" bestFit="1" customWidth="1"/>
  </cols>
  <sheetData>
    <row r="2" spans="1:3" x14ac:dyDescent="0.35">
      <c r="A2" t="s">
        <v>231</v>
      </c>
      <c r="B2" t="s">
        <v>104</v>
      </c>
      <c r="C2" t="s">
        <v>215</v>
      </c>
    </row>
    <row r="3" spans="1:3" x14ac:dyDescent="0.35">
      <c r="A3" s="2" t="s">
        <v>230</v>
      </c>
    </row>
    <row r="4" spans="1:3" x14ac:dyDescent="0.35">
      <c r="A4" t="s">
        <v>1</v>
      </c>
      <c r="B4" s="1"/>
      <c r="C4" s="1"/>
    </row>
    <row r="5" spans="1:3" x14ac:dyDescent="0.35">
      <c r="A5" t="s">
        <v>111</v>
      </c>
      <c r="B5" s="1">
        <v>1809</v>
      </c>
      <c r="C5" s="1">
        <v>1708</v>
      </c>
    </row>
    <row r="6" spans="1:3" x14ac:dyDescent="0.35">
      <c r="A6" t="s">
        <v>112</v>
      </c>
      <c r="B6" s="1">
        <v>1625</v>
      </c>
      <c r="C6" s="1">
        <v>1405</v>
      </c>
    </row>
    <row r="7" spans="1:3" x14ac:dyDescent="0.35">
      <c r="A7" t="s">
        <v>113</v>
      </c>
      <c r="B7" s="10">
        <v>184</v>
      </c>
      <c r="C7" s="10">
        <v>303</v>
      </c>
    </row>
    <row r="8" spans="1:3" x14ac:dyDescent="0.35">
      <c r="A8" t="s">
        <v>2</v>
      </c>
      <c r="B8" s="1">
        <v>2995</v>
      </c>
      <c r="C8" s="1">
        <v>2868</v>
      </c>
    </row>
    <row r="9" spans="1:3" x14ac:dyDescent="0.35">
      <c r="A9" s="14" t="s">
        <v>3</v>
      </c>
      <c r="B9" s="10">
        <v>3179</v>
      </c>
      <c r="C9" s="10">
        <v>3171</v>
      </c>
    </row>
    <row r="10" spans="1:3" x14ac:dyDescent="0.35">
      <c r="A10" s="2"/>
      <c r="B10" s="1"/>
      <c r="C10" s="1"/>
    </row>
    <row r="11" spans="1:3" x14ac:dyDescent="0.35">
      <c r="A11" s="2" t="s">
        <v>114</v>
      </c>
      <c r="B11" s="1">
        <v>54322</v>
      </c>
      <c r="C11" s="1">
        <v>50609</v>
      </c>
    </row>
    <row r="12" spans="1:3" x14ac:dyDescent="0.35">
      <c r="A12" s="2" t="s">
        <v>226</v>
      </c>
      <c r="B12" s="1">
        <v>98025</v>
      </c>
      <c r="C12" s="1">
        <v>94160</v>
      </c>
    </row>
    <row r="13" spans="1:3" x14ac:dyDescent="0.35">
      <c r="A13" s="2" t="s">
        <v>6</v>
      </c>
      <c r="B13" s="1">
        <v>3325</v>
      </c>
      <c r="C13" s="1">
        <v>3414</v>
      </c>
    </row>
    <row r="14" spans="1:3" x14ac:dyDescent="0.35">
      <c r="A14" s="14" t="s">
        <v>115</v>
      </c>
      <c r="B14" s="10">
        <v>48246</v>
      </c>
      <c r="C14" s="10">
        <v>42319</v>
      </c>
    </row>
    <row r="15" spans="1:3" x14ac:dyDescent="0.35">
      <c r="A15" s="2" t="s">
        <v>7</v>
      </c>
      <c r="B15" s="1">
        <v>393982</v>
      </c>
      <c r="C15" s="1">
        <v>426404</v>
      </c>
    </row>
    <row r="16" spans="1:3" x14ac:dyDescent="0.35">
      <c r="A16" t="s">
        <v>227</v>
      </c>
      <c r="B16" s="10">
        <v>65410</v>
      </c>
      <c r="C16" s="10">
        <v>77019</v>
      </c>
    </row>
    <row r="17" spans="1:3" x14ac:dyDescent="0.35">
      <c r="A17" s="2" t="s">
        <v>94</v>
      </c>
      <c r="B17" s="1">
        <v>459392</v>
      </c>
      <c r="C17" s="1">
        <v>503423</v>
      </c>
    </row>
    <row r="18" spans="1:3" x14ac:dyDescent="0.35">
      <c r="A18" t="s">
        <v>228</v>
      </c>
      <c r="B18" s="1">
        <v>37689</v>
      </c>
      <c r="C18" s="1">
        <v>41975</v>
      </c>
    </row>
    <row r="19" spans="1:3" x14ac:dyDescent="0.35">
      <c r="A19" s="2" t="s">
        <v>203</v>
      </c>
      <c r="B19" s="10">
        <v>497081</v>
      </c>
      <c r="C19" s="10">
        <v>545398</v>
      </c>
    </row>
    <row r="20" spans="1:3" x14ac:dyDescent="0.35">
      <c r="A20" s="2"/>
      <c r="B20" s="1"/>
      <c r="C20" s="1"/>
    </row>
    <row r="21" spans="1:3" x14ac:dyDescent="0.35">
      <c r="A21" t="s">
        <v>9</v>
      </c>
      <c r="B21" s="1">
        <v>3147</v>
      </c>
      <c r="C21" s="1">
        <v>3126</v>
      </c>
    </row>
    <row r="22" spans="1:3" x14ac:dyDescent="0.35">
      <c r="A22" t="s">
        <v>10</v>
      </c>
      <c r="B22" s="1">
        <v>51</v>
      </c>
      <c r="C22" s="1">
        <v>26</v>
      </c>
    </row>
    <row r="23" spans="1:3" x14ac:dyDescent="0.35">
      <c r="A23" t="s">
        <v>12</v>
      </c>
      <c r="B23" s="1">
        <v>22312</v>
      </c>
      <c r="C23" s="1">
        <v>21277</v>
      </c>
    </row>
    <row r="24" spans="1:3" x14ac:dyDescent="0.35">
      <c r="A24" s="2" t="s">
        <v>13</v>
      </c>
      <c r="B24" s="1">
        <v>25510</v>
      </c>
      <c r="C24" s="1">
        <v>24429</v>
      </c>
    </row>
    <row r="25" spans="1:3" x14ac:dyDescent="0.35">
      <c r="A25" s="2" t="s">
        <v>229</v>
      </c>
      <c r="B25" s="1">
        <v>9268</v>
      </c>
      <c r="C25" s="1">
        <v>8838</v>
      </c>
    </row>
    <row r="26" spans="1:3" x14ac:dyDescent="0.35">
      <c r="A26" s="2" t="s">
        <v>204</v>
      </c>
      <c r="B26" s="13">
        <v>1.2</v>
      </c>
      <c r="C26" s="13">
        <v>1.24</v>
      </c>
    </row>
    <row r="29" spans="1:3" x14ac:dyDescent="0.35">
      <c r="A29" t="s">
        <v>232</v>
      </c>
      <c r="B29" t="s">
        <v>104</v>
      </c>
      <c r="C29" t="s">
        <v>215</v>
      </c>
    </row>
    <row r="30" spans="1:3" x14ac:dyDescent="0.35">
      <c r="A30" s="2" t="s">
        <v>116</v>
      </c>
    </row>
    <row r="31" spans="1:3" x14ac:dyDescent="0.35">
      <c r="A31" t="s">
        <v>117</v>
      </c>
    </row>
    <row r="32" spans="1:3" x14ac:dyDescent="0.35">
      <c r="A32" t="s">
        <v>118</v>
      </c>
      <c r="B32" s="1">
        <v>58060</v>
      </c>
      <c r="C32" s="1">
        <v>54340</v>
      </c>
    </row>
    <row r="33" spans="1:3" x14ac:dyDescent="0.35">
      <c r="A33" t="s">
        <v>119</v>
      </c>
      <c r="B33" s="10">
        <v>-3738</v>
      </c>
      <c r="C33" s="10">
        <v>-3731</v>
      </c>
    </row>
    <row r="34" spans="1:3" x14ac:dyDescent="0.35">
      <c r="A34" t="s">
        <v>114</v>
      </c>
      <c r="B34" s="12">
        <v>54322</v>
      </c>
      <c r="C34" s="12">
        <v>50609</v>
      </c>
    </row>
    <row r="35" spans="1:3" x14ac:dyDescent="0.35">
      <c r="A35" t="s">
        <v>120</v>
      </c>
      <c r="B35" s="1"/>
      <c r="C35" s="1"/>
    </row>
    <row r="36" spans="1:3" x14ac:dyDescent="0.35">
      <c r="A36" t="s">
        <v>121</v>
      </c>
      <c r="B36" s="1">
        <v>-4898</v>
      </c>
      <c r="C36" s="1">
        <v>4502</v>
      </c>
    </row>
    <row r="37" spans="1:3" x14ac:dyDescent="0.35">
      <c r="A37" t="s">
        <v>78</v>
      </c>
      <c r="B37" s="10">
        <v>-16011</v>
      </c>
      <c r="C37" s="10">
        <v>-1240</v>
      </c>
    </row>
    <row r="38" spans="1:3" x14ac:dyDescent="0.35">
      <c r="A38" t="s">
        <v>122</v>
      </c>
      <c r="B38" s="1">
        <v>-11113</v>
      </c>
      <c r="C38" s="1">
        <v>3262</v>
      </c>
    </row>
    <row r="39" spans="1:3" x14ac:dyDescent="0.35">
      <c r="A39" t="s">
        <v>6</v>
      </c>
      <c r="B39" s="10">
        <v>-3325</v>
      </c>
      <c r="C39" s="10">
        <v>3414</v>
      </c>
    </row>
    <row r="40" spans="1:3" x14ac:dyDescent="0.35">
      <c r="B40" s="12">
        <v>46534</v>
      </c>
      <c r="C40" s="12">
        <v>57285</v>
      </c>
    </row>
    <row r="41" spans="1:3" x14ac:dyDescent="0.35">
      <c r="A41" s="2" t="s">
        <v>123</v>
      </c>
      <c r="B41" s="1"/>
      <c r="C41" s="1"/>
    </row>
    <row r="42" spans="1:3" x14ac:dyDescent="0.35">
      <c r="A42" t="s">
        <v>124</v>
      </c>
      <c r="B42" s="1"/>
      <c r="C42" s="1"/>
    </row>
    <row r="43" spans="1:3" x14ac:dyDescent="0.35">
      <c r="A43" t="s">
        <v>125</v>
      </c>
      <c r="B43" s="1">
        <v>48611</v>
      </c>
      <c r="C43" s="1">
        <v>43401</v>
      </c>
    </row>
    <row r="44" spans="1:3" x14ac:dyDescent="0.35">
      <c r="A44" t="s">
        <v>126</v>
      </c>
      <c r="B44" s="10">
        <v>-2537</v>
      </c>
      <c r="C44" s="10">
        <v>-2505</v>
      </c>
    </row>
    <row r="45" spans="1:3" x14ac:dyDescent="0.35">
      <c r="A45" t="s">
        <v>127</v>
      </c>
      <c r="B45" s="1">
        <v>46074</v>
      </c>
      <c r="C45" s="1">
        <v>40896</v>
      </c>
    </row>
    <row r="46" spans="1:3" x14ac:dyDescent="0.35">
      <c r="A46" t="s">
        <v>128</v>
      </c>
      <c r="B46" s="1"/>
      <c r="C46" s="1"/>
    </row>
    <row r="47" spans="1:3" x14ac:dyDescent="0.35">
      <c r="A47" t="s">
        <v>125</v>
      </c>
      <c r="B47" s="1">
        <v>-12410</v>
      </c>
      <c r="C47" s="1">
        <v>4394</v>
      </c>
    </row>
    <row r="48" spans="1:3" x14ac:dyDescent="0.35">
      <c r="A48" t="s">
        <v>126</v>
      </c>
      <c r="B48" s="10">
        <v>1169</v>
      </c>
      <c r="C48" s="10">
        <v>1081</v>
      </c>
    </row>
    <row r="49" spans="1:3" x14ac:dyDescent="0.35">
      <c r="A49" t="s">
        <v>129</v>
      </c>
      <c r="B49" s="1">
        <v>-11241</v>
      </c>
      <c r="C49" s="1">
        <v>5475</v>
      </c>
    </row>
    <row r="50" spans="1:3" x14ac:dyDescent="0.35">
      <c r="A50" t="s">
        <v>130</v>
      </c>
      <c r="B50" s="10">
        <v>2172</v>
      </c>
      <c r="C50" s="10">
        <v>1423</v>
      </c>
    </row>
    <row r="51" spans="1:3" x14ac:dyDescent="0.35">
      <c r="A51" t="s">
        <v>131</v>
      </c>
      <c r="B51" s="1">
        <v>37005</v>
      </c>
      <c r="C51" s="1">
        <v>47794</v>
      </c>
    </row>
    <row r="52" spans="1:3" x14ac:dyDescent="0.35">
      <c r="A52" t="s">
        <v>132</v>
      </c>
      <c r="B52" s="1">
        <v>2148</v>
      </c>
      <c r="C52" s="1">
        <v>2107</v>
      </c>
    </row>
    <row r="53" spans="1:3" x14ac:dyDescent="0.35">
      <c r="A53" t="s">
        <v>133</v>
      </c>
      <c r="B53" s="1">
        <v>3249</v>
      </c>
      <c r="C53" s="1">
        <v>3175</v>
      </c>
    </row>
    <row r="54" spans="1:3" x14ac:dyDescent="0.35">
      <c r="A54" t="s">
        <v>134</v>
      </c>
      <c r="B54" s="1">
        <v>474</v>
      </c>
      <c r="C54" s="1">
        <v>486</v>
      </c>
    </row>
    <row r="55" spans="1:3" x14ac:dyDescent="0.35">
      <c r="A55" t="s">
        <v>135</v>
      </c>
      <c r="B55" s="1">
        <v>109</v>
      </c>
      <c r="C55" s="1">
        <v>110</v>
      </c>
    </row>
    <row r="56" spans="1:3" x14ac:dyDescent="0.35">
      <c r="A56" t="s">
        <v>136</v>
      </c>
      <c r="B56" s="10">
        <v>168</v>
      </c>
      <c r="C56" s="10">
        <v>165</v>
      </c>
    </row>
    <row r="57" spans="1:3" x14ac:dyDescent="0.35">
      <c r="A57" s="2" t="s">
        <v>27</v>
      </c>
      <c r="B57" s="1">
        <v>3381</v>
      </c>
      <c r="C57" s="1">
        <v>3448</v>
      </c>
    </row>
    <row r="58" spans="1:3" x14ac:dyDescent="0.35">
      <c r="A58" t="s">
        <v>137</v>
      </c>
      <c r="B58" s="10">
        <v>199</v>
      </c>
      <c r="C58" s="10">
        <v>274</v>
      </c>
    </row>
    <row r="59" spans="1:3" x14ac:dyDescent="0.35">
      <c r="A59" s="2" t="s">
        <v>29</v>
      </c>
      <c r="B59" s="1">
        <v>3182</v>
      </c>
      <c r="C59" s="1">
        <v>3174</v>
      </c>
    </row>
    <row r="60" spans="1:3" x14ac:dyDescent="0.35">
      <c r="A60" t="s">
        <v>138</v>
      </c>
      <c r="B60" s="10">
        <v>3</v>
      </c>
      <c r="C60" s="10">
        <v>3</v>
      </c>
    </row>
    <row r="61" spans="1:3" x14ac:dyDescent="0.35">
      <c r="A61" s="2" t="s">
        <v>3</v>
      </c>
      <c r="B61" s="1">
        <v>3179</v>
      </c>
      <c r="C61" s="1">
        <v>3171</v>
      </c>
    </row>
    <row r="62" spans="1:3" x14ac:dyDescent="0.35">
      <c r="A62" t="s">
        <v>139</v>
      </c>
      <c r="B62" s="10">
        <v>184</v>
      </c>
      <c r="C62" s="10">
        <v>303</v>
      </c>
    </row>
    <row r="63" spans="1:3" x14ac:dyDescent="0.35">
      <c r="A63" s="2" t="s">
        <v>140</v>
      </c>
      <c r="B63" s="12">
        <v>2995</v>
      </c>
      <c r="C63" s="12">
        <v>2868</v>
      </c>
    </row>
    <row r="66" spans="1:3" x14ac:dyDescent="0.35">
      <c r="A66" t="s">
        <v>233</v>
      </c>
      <c r="B66" t="s">
        <v>104</v>
      </c>
      <c r="C66" t="s">
        <v>215</v>
      </c>
    </row>
    <row r="67" spans="1:3" x14ac:dyDescent="0.35">
      <c r="A67" s="2" t="s">
        <v>105</v>
      </c>
    </row>
    <row r="68" spans="1:3" x14ac:dyDescent="0.35">
      <c r="A68" t="s">
        <v>33</v>
      </c>
      <c r="B68" s="1">
        <v>3761</v>
      </c>
      <c r="C68" s="1">
        <v>3271</v>
      </c>
    </row>
    <row r="69" spans="1:3" x14ac:dyDescent="0.35">
      <c r="A69" t="s">
        <v>34</v>
      </c>
      <c r="B69" s="1">
        <v>87814</v>
      </c>
      <c r="C69" s="1">
        <v>101329</v>
      </c>
    </row>
    <row r="70" spans="1:3" x14ac:dyDescent="0.35">
      <c r="A70" t="s">
        <v>35</v>
      </c>
      <c r="B70" s="1">
        <v>24012</v>
      </c>
      <c r="C70" s="1">
        <v>23113</v>
      </c>
    </row>
    <row r="71" spans="1:3" x14ac:dyDescent="0.35">
      <c r="A71" t="s">
        <v>36</v>
      </c>
      <c r="B71" s="1">
        <v>12663</v>
      </c>
      <c r="C71" s="1">
        <v>13252</v>
      </c>
    </row>
    <row r="72" spans="1:3" x14ac:dyDescent="0.35">
      <c r="A72" t="s">
        <v>37</v>
      </c>
      <c r="B72" s="1">
        <v>8315</v>
      </c>
      <c r="C72" s="1">
        <v>7759</v>
      </c>
    </row>
    <row r="73" spans="1:3" x14ac:dyDescent="0.35">
      <c r="A73" t="s">
        <v>141</v>
      </c>
      <c r="B73" s="10">
        <v>3660</v>
      </c>
      <c r="C73" s="10">
        <v>3480</v>
      </c>
    </row>
    <row r="74" spans="1:3" x14ac:dyDescent="0.35">
      <c r="B74" s="1">
        <v>140225</v>
      </c>
      <c r="C74" s="1">
        <v>152204</v>
      </c>
    </row>
    <row r="75" spans="1:3" x14ac:dyDescent="0.35">
      <c r="A75" t="s">
        <v>142</v>
      </c>
      <c r="B75" s="1">
        <v>7041</v>
      </c>
      <c r="C75" s="1">
        <v>7555</v>
      </c>
    </row>
    <row r="76" spans="1:3" x14ac:dyDescent="0.35">
      <c r="A76" t="s">
        <v>143</v>
      </c>
      <c r="B76" s="1">
        <v>6877</v>
      </c>
      <c r="C76" s="1">
        <v>8794</v>
      </c>
    </row>
    <row r="77" spans="1:3" x14ac:dyDescent="0.35">
      <c r="A77" t="s">
        <v>144</v>
      </c>
      <c r="B77" s="1">
        <v>6372</v>
      </c>
      <c r="C77" s="1">
        <v>6382</v>
      </c>
    </row>
    <row r="78" spans="1:3" x14ac:dyDescent="0.35">
      <c r="A78" t="s">
        <v>145</v>
      </c>
      <c r="B78" s="1">
        <v>2450</v>
      </c>
      <c r="C78" s="1">
        <v>2362</v>
      </c>
    </row>
    <row r="79" spans="1:3" x14ac:dyDescent="0.35">
      <c r="A79" t="s">
        <v>146</v>
      </c>
      <c r="B79" s="1">
        <v>1120</v>
      </c>
      <c r="C79" s="1">
        <v>582</v>
      </c>
    </row>
    <row r="80" spans="1:3" x14ac:dyDescent="0.35">
      <c r="A80" t="s">
        <v>147</v>
      </c>
      <c r="B80" s="1">
        <v>532</v>
      </c>
      <c r="C80" s="1">
        <v>552</v>
      </c>
    </row>
    <row r="81" spans="1:3" x14ac:dyDescent="0.35">
      <c r="A81" t="s">
        <v>148</v>
      </c>
      <c r="B81" s="1">
        <v>257</v>
      </c>
      <c r="C81" s="1">
        <v>288</v>
      </c>
    </row>
    <row r="82" spans="1:3" x14ac:dyDescent="0.35">
      <c r="A82" t="s">
        <v>149</v>
      </c>
      <c r="B82" s="1">
        <v>2091</v>
      </c>
      <c r="C82" s="1">
        <v>1836</v>
      </c>
    </row>
    <row r="83" spans="1:3" x14ac:dyDescent="0.35">
      <c r="A83" t="s">
        <v>150</v>
      </c>
      <c r="B83" s="1">
        <v>4825</v>
      </c>
      <c r="C83" s="1">
        <v>4841</v>
      </c>
    </row>
    <row r="84" spans="1:3" x14ac:dyDescent="0.35">
      <c r="A84" t="s">
        <v>47</v>
      </c>
      <c r="B84" s="1">
        <v>254</v>
      </c>
      <c r="C84" s="1">
        <v>242</v>
      </c>
    </row>
    <row r="85" spans="1:3" x14ac:dyDescent="0.35">
      <c r="A85" t="s">
        <v>151</v>
      </c>
      <c r="B85" s="1">
        <v>315</v>
      </c>
      <c r="C85" s="1">
        <v>266</v>
      </c>
    </row>
    <row r="86" spans="1:3" x14ac:dyDescent="0.35">
      <c r="A86" t="s">
        <v>152</v>
      </c>
      <c r="B86" s="1">
        <v>221623</v>
      </c>
      <c r="C86" s="1">
        <v>240500</v>
      </c>
    </row>
    <row r="87" spans="1:3" x14ac:dyDescent="0.35">
      <c r="A87" s="2" t="s">
        <v>7</v>
      </c>
      <c r="B87" s="1">
        <v>393982</v>
      </c>
      <c r="C87" s="1">
        <v>426404</v>
      </c>
    </row>
    <row r="88" spans="1:3" x14ac:dyDescent="0.35">
      <c r="A88" s="2"/>
      <c r="B88" s="1"/>
      <c r="C88" s="1"/>
    </row>
    <row r="89" spans="1:3" x14ac:dyDescent="0.35">
      <c r="A89" s="2" t="s">
        <v>50</v>
      </c>
      <c r="B89" s="1"/>
      <c r="C89" s="1"/>
    </row>
    <row r="90" spans="1:3" x14ac:dyDescent="0.35">
      <c r="A90" t="s">
        <v>153</v>
      </c>
      <c r="B90" s="1">
        <v>134389</v>
      </c>
      <c r="C90" s="1">
        <v>148884</v>
      </c>
    </row>
    <row r="91" spans="1:3" x14ac:dyDescent="0.35">
      <c r="A91" t="s">
        <v>154</v>
      </c>
      <c r="B91" s="1">
        <v>1568</v>
      </c>
      <c r="C91" s="1">
        <v>1646</v>
      </c>
    </row>
    <row r="92" spans="1:3" x14ac:dyDescent="0.35">
      <c r="A92" t="s">
        <v>155</v>
      </c>
      <c r="B92" s="1">
        <v>747</v>
      </c>
      <c r="C92" s="1">
        <v>745</v>
      </c>
    </row>
    <row r="93" spans="1:3" x14ac:dyDescent="0.35">
      <c r="A93" t="s">
        <v>156</v>
      </c>
      <c r="B93" s="1">
        <v>1000</v>
      </c>
      <c r="C93" s="1">
        <v>1000</v>
      </c>
    </row>
    <row r="94" spans="1:3" x14ac:dyDescent="0.35">
      <c r="A94" t="s">
        <v>157</v>
      </c>
      <c r="B94" s="1">
        <v>1646</v>
      </c>
      <c r="C94" s="1">
        <v>2006</v>
      </c>
    </row>
    <row r="95" spans="1:3" x14ac:dyDescent="0.35">
      <c r="A95" t="s">
        <v>146</v>
      </c>
      <c r="B95" s="1">
        <v>1575</v>
      </c>
      <c r="C95" s="1">
        <v>1005</v>
      </c>
    </row>
    <row r="96" spans="1:3" x14ac:dyDescent="0.35">
      <c r="A96" t="s">
        <v>55</v>
      </c>
      <c r="B96" s="1">
        <v>2047</v>
      </c>
      <c r="C96" s="1">
        <v>1945</v>
      </c>
    </row>
    <row r="97" spans="1:3" x14ac:dyDescent="0.35">
      <c r="A97" t="s">
        <v>158</v>
      </c>
      <c r="B97" s="1">
        <v>2935</v>
      </c>
      <c r="C97" s="1">
        <v>3162</v>
      </c>
    </row>
    <row r="98" spans="1:3" x14ac:dyDescent="0.35">
      <c r="A98" t="s">
        <v>47</v>
      </c>
      <c r="B98" s="1">
        <v>50</v>
      </c>
      <c r="C98" s="1">
        <v>160</v>
      </c>
    </row>
    <row r="99" spans="1:3" x14ac:dyDescent="0.35">
      <c r="A99" t="s">
        <v>159</v>
      </c>
      <c r="B99" s="1">
        <v>892</v>
      </c>
      <c r="C99" s="1">
        <v>922</v>
      </c>
    </row>
    <row r="100" spans="1:3" x14ac:dyDescent="0.35">
      <c r="A100" t="s">
        <v>160</v>
      </c>
      <c r="B100" s="10">
        <v>221623</v>
      </c>
      <c r="C100" s="10">
        <v>240500</v>
      </c>
    </row>
    <row r="101" spans="1:3" x14ac:dyDescent="0.35">
      <c r="A101" t="s">
        <v>60</v>
      </c>
      <c r="B101" s="12">
        <v>368472</v>
      </c>
      <c r="C101" s="12">
        <v>401975</v>
      </c>
    </row>
    <row r="102" spans="1:3" x14ac:dyDescent="0.35">
      <c r="A102" t="s">
        <v>61</v>
      </c>
      <c r="B102" s="1"/>
      <c r="C102" s="1"/>
    </row>
    <row r="103" spans="1:3" x14ac:dyDescent="0.35">
      <c r="A103" t="s">
        <v>161</v>
      </c>
      <c r="B103" s="1">
        <v>3147</v>
      </c>
      <c r="C103" s="1">
        <v>3126</v>
      </c>
    </row>
    <row r="104" spans="1:3" x14ac:dyDescent="0.35">
      <c r="A104" t="s">
        <v>162</v>
      </c>
      <c r="B104" s="1">
        <v>51</v>
      </c>
      <c r="C104" s="1">
        <v>26</v>
      </c>
    </row>
    <row r="105" spans="1:3" x14ac:dyDescent="0.35">
      <c r="A105" t="s">
        <v>12</v>
      </c>
      <c r="B105" s="1"/>
      <c r="C105" s="1"/>
    </row>
    <row r="106" spans="1:3" x14ac:dyDescent="0.35">
      <c r="A106" t="s">
        <v>163</v>
      </c>
      <c r="B106" s="1"/>
      <c r="C106" s="1"/>
    </row>
    <row r="107" spans="1:3" x14ac:dyDescent="0.35">
      <c r="A107" t="s">
        <v>164</v>
      </c>
      <c r="B107" s="1">
        <v>7884</v>
      </c>
      <c r="C107" s="1">
        <v>7884</v>
      </c>
    </row>
    <row r="108" spans="1:3" x14ac:dyDescent="0.35">
      <c r="A108" t="s">
        <v>67</v>
      </c>
      <c r="B108" s="1">
        <v>14258</v>
      </c>
      <c r="C108" s="1">
        <v>13025</v>
      </c>
    </row>
    <row r="109" spans="1:3" x14ac:dyDescent="0.35">
      <c r="A109" t="s">
        <v>165</v>
      </c>
      <c r="B109" s="1">
        <v>-255</v>
      </c>
      <c r="C109" s="1">
        <v>-51</v>
      </c>
    </row>
    <row r="110" spans="1:3" x14ac:dyDescent="0.35">
      <c r="A110" t="s">
        <v>69</v>
      </c>
      <c r="B110" s="10">
        <v>425</v>
      </c>
      <c r="C110" s="10">
        <v>419</v>
      </c>
    </row>
    <row r="111" spans="1:3" x14ac:dyDescent="0.35">
      <c r="A111" s="2" t="s">
        <v>13</v>
      </c>
      <c r="B111" s="10">
        <v>25510</v>
      </c>
      <c r="C111" s="10">
        <v>24429</v>
      </c>
    </row>
    <row r="112" spans="1:3" x14ac:dyDescent="0.35">
      <c r="A112" s="2" t="s">
        <v>70</v>
      </c>
      <c r="B112" s="12">
        <v>393982</v>
      </c>
      <c r="C112" s="12">
        <v>426404</v>
      </c>
    </row>
    <row r="115" spans="1:9" x14ac:dyDescent="0.35">
      <c r="A115" t="s">
        <v>234</v>
      </c>
      <c r="B115" t="s">
        <v>65</v>
      </c>
      <c r="C115" t="s">
        <v>69</v>
      </c>
      <c r="D115" t="s">
        <v>67</v>
      </c>
      <c r="E115" t="s">
        <v>238</v>
      </c>
      <c r="F115" t="s">
        <v>239</v>
      </c>
      <c r="G115" t="s">
        <v>10</v>
      </c>
      <c r="H115" t="s">
        <v>9</v>
      </c>
      <c r="I115" t="s">
        <v>13</v>
      </c>
    </row>
    <row r="116" spans="1:9" x14ac:dyDescent="0.35">
      <c r="A116" s="2" t="s">
        <v>166</v>
      </c>
      <c r="B116" s="15">
        <v>7884</v>
      </c>
      <c r="C116" s="15">
        <v>419</v>
      </c>
      <c r="D116" s="15">
        <v>13025</v>
      </c>
      <c r="E116" s="15">
        <v>-51</v>
      </c>
      <c r="F116" s="15">
        <v>21277</v>
      </c>
      <c r="G116" s="15">
        <v>26</v>
      </c>
      <c r="H116" s="15">
        <v>3126</v>
      </c>
      <c r="I116" s="15">
        <v>24429</v>
      </c>
    </row>
    <row r="117" spans="1:9" x14ac:dyDescent="0.35">
      <c r="A117" t="s">
        <v>3</v>
      </c>
      <c r="B117" s="15" t="s">
        <v>11</v>
      </c>
      <c r="C117" s="15" t="s">
        <v>11</v>
      </c>
      <c r="D117" s="15">
        <v>2995</v>
      </c>
      <c r="E117" s="15" t="s">
        <v>11</v>
      </c>
      <c r="F117" s="15">
        <v>2995</v>
      </c>
      <c r="G117" s="15">
        <v>3</v>
      </c>
      <c r="H117" s="15">
        <v>184</v>
      </c>
      <c r="I117" s="15">
        <v>3182</v>
      </c>
    </row>
    <row r="118" spans="1:9" x14ac:dyDescent="0.35">
      <c r="A118" t="s">
        <v>189</v>
      </c>
      <c r="B118" s="16" t="s">
        <v>11</v>
      </c>
      <c r="C118" s="16" t="s">
        <v>11</v>
      </c>
      <c r="D118" s="16" t="s">
        <v>11</v>
      </c>
      <c r="E118" s="16">
        <v>-204</v>
      </c>
      <c r="F118" s="16">
        <v>-204</v>
      </c>
      <c r="G118" s="16">
        <v>1</v>
      </c>
      <c r="H118" s="16">
        <v>-163</v>
      </c>
      <c r="I118" s="16">
        <v>-366</v>
      </c>
    </row>
    <row r="119" spans="1:9" x14ac:dyDescent="0.35">
      <c r="B119" s="15">
        <v>7884</v>
      </c>
      <c r="C119" s="15">
        <v>419</v>
      </c>
      <c r="D119" s="15">
        <v>16020</v>
      </c>
      <c r="E119" s="15">
        <v>-255</v>
      </c>
      <c r="F119" s="15">
        <v>24068</v>
      </c>
      <c r="G119" s="15">
        <v>30</v>
      </c>
      <c r="H119" s="15">
        <v>3147</v>
      </c>
      <c r="I119" s="15">
        <v>27245</v>
      </c>
    </row>
    <row r="120" spans="1:9" x14ac:dyDescent="0.35">
      <c r="A120" t="s">
        <v>190</v>
      </c>
      <c r="B120" s="15" t="s">
        <v>11</v>
      </c>
      <c r="C120" s="15" t="s">
        <v>11</v>
      </c>
      <c r="D120" s="15">
        <v>-1770</v>
      </c>
      <c r="E120" s="15" t="s">
        <v>11</v>
      </c>
      <c r="F120" s="15">
        <v>-1770</v>
      </c>
      <c r="G120" s="15" t="s">
        <v>11</v>
      </c>
      <c r="H120" s="15" t="s">
        <v>11</v>
      </c>
      <c r="I120" s="15">
        <v>-1770</v>
      </c>
    </row>
    <row r="121" spans="1:9" x14ac:dyDescent="0.35">
      <c r="A121" t="s">
        <v>237</v>
      </c>
      <c r="B121" s="15" t="s">
        <v>11</v>
      </c>
      <c r="C121" s="15">
        <v>6</v>
      </c>
      <c r="D121" s="15" t="s">
        <v>11</v>
      </c>
      <c r="E121" s="15" t="s">
        <v>11</v>
      </c>
      <c r="F121" s="15">
        <v>6</v>
      </c>
      <c r="G121" s="15" t="s">
        <v>11</v>
      </c>
      <c r="H121" s="15" t="s">
        <v>11</v>
      </c>
      <c r="I121" s="15">
        <v>6</v>
      </c>
    </row>
    <row r="122" spans="1:9" x14ac:dyDescent="0.35">
      <c r="A122" t="s">
        <v>236</v>
      </c>
      <c r="B122" s="15" t="s">
        <v>11</v>
      </c>
      <c r="C122" s="15" t="s">
        <v>11</v>
      </c>
      <c r="D122" s="15" t="s">
        <v>11</v>
      </c>
      <c r="E122" s="15" t="s">
        <v>11</v>
      </c>
      <c r="F122" s="15" t="s">
        <v>11</v>
      </c>
      <c r="G122" s="15">
        <v>15</v>
      </c>
      <c r="H122" s="15" t="s">
        <v>11</v>
      </c>
      <c r="I122" s="15">
        <v>15</v>
      </c>
    </row>
    <row r="123" spans="1:9" x14ac:dyDescent="0.35">
      <c r="A123" t="s">
        <v>235</v>
      </c>
      <c r="B123" s="15" t="s">
        <v>11</v>
      </c>
      <c r="C123" s="15" t="s">
        <v>11</v>
      </c>
      <c r="D123" s="15">
        <v>8</v>
      </c>
      <c r="E123" s="15" t="s">
        <v>11</v>
      </c>
      <c r="F123" s="15">
        <v>8</v>
      </c>
      <c r="G123" s="15">
        <v>6</v>
      </c>
      <c r="H123" s="15" t="s">
        <v>11</v>
      </c>
      <c r="I123" s="15">
        <v>14</v>
      </c>
    </row>
    <row r="124" spans="1:9" x14ac:dyDescent="0.35">
      <c r="A124" s="2" t="s">
        <v>167</v>
      </c>
      <c r="B124" s="15">
        <v>7884</v>
      </c>
      <c r="C124" s="15">
        <v>425</v>
      </c>
      <c r="D124" s="15">
        <v>14258</v>
      </c>
      <c r="E124" s="15">
        <v>-255</v>
      </c>
      <c r="F124" s="15">
        <v>22312</v>
      </c>
      <c r="G124" s="15">
        <v>51</v>
      </c>
      <c r="H124" s="15">
        <v>3147</v>
      </c>
      <c r="I124" s="15">
        <v>25510</v>
      </c>
    </row>
    <row r="127" spans="1:9" x14ac:dyDescent="0.35">
      <c r="A127" t="s">
        <v>224</v>
      </c>
      <c r="B127" t="s">
        <v>104</v>
      </c>
      <c r="C127" t="s">
        <v>215</v>
      </c>
    </row>
    <row r="128" spans="1:9" x14ac:dyDescent="0.35">
      <c r="A128" s="2" t="s">
        <v>109</v>
      </c>
      <c r="B128" s="1"/>
      <c r="C128" s="1"/>
    </row>
    <row r="129" spans="1:3" x14ac:dyDescent="0.35">
      <c r="A129" t="s">
        <v>27</v>
      </c>
      <c r="B129" s="1">
        <v>3381</v>
      </c>
      <c r="C129" s="1">
        <v>3448</v>
      </c>
    </row>
    <row r="130" spans="1:3" x14ac:dyDescent="0.35">
      <c r="A130" t="s">
        <v>71</v>
      </c>
      <c r="B130" s="1">
        <v>-326</v>
      </c>
      <c r="C130" s="1">
        <v>-360</v>
      </c>
    </row>
    <row r="131" spans="1:3" x14ac:dyDescent="0.35">
      <c r="A131" t="s">
        <v>72</v>
      </c>
      <c r="B131" s="1"/>
      <c r="C131" s="1"/>
    </row>
    <row r="132" spans="1:3" x14ac:dyDescent="0.35">
      <c r="A132" t="s">
        <v>168</v>
      </c>
      <c r="B132" s="1">
        <v>-12992</v>
      </c>
      <c r="C132" s="1">
        <v>3579</v>
      </c>
    </row>
    <row r="133" spans="1:3" x14ac:dyDescent="0.35">
      <c r="A133" t="s">
        <v>169</v>
      </c>
      <c r="B133" s="1">
        <v>-491</v>
      </c>
      <c r="C133" s="1">
        <v>555</v>
      </c>
    </row>
    <row r="134" spans="1:3" x14ac:dyDescent="0.35">
      <c r="A134" t="s">
        <v>170</v>
      </c>
      <c r="B134" s="1">
        <v>-354</v>
      </c>
      <c r="C134" s="1">
        <v>-146</v>
      </c>
    </row>
    <row r="135" spans="1:3" x14ac:dyDescent="0.35">
      <c r="A135" t="s">
        <v>171</v>
      </c>
      <c r="B135" s="1">
        <v>1972</v>
      </c>
      <c r="C135" s="1">
        <v>1056</v>
      </c>
    </row>
    <row r="136" spans="1:3" x14ac:dyDescent="0.35">
      <c r="A136" t="s">
        <v>78</v>
      </c>
      <c r="B136" s="1">
        <v>16011</v>
      </c>
      <c r="C136" s="1">
        <v>1240</v>
      </c>
    </row>
    <row r="137" spans="1:3" x14ac:dyDescent="0.35">
      <c r="A137" t="s">
        <v>81</v>
      </c>
      <c r="B137" s="10">
        <v>-860</v>
      </c>
      <c r="C137" s="10">
        <v>-123</v>
      </c>
    </row>
    <row r="138" spans="1:3" x14ac:dyDescent="0.35">
      <c r="B138" s="1">
        <v>6341</v>
      </c>
      <c r="C138" s="1">
        <v>9249</v>
      </c>
    </row>
    <row r="139" spans="1:3" x14ac:dyDescent="0.35">
      <c r="A139" s="2" t="s">
        <v>82</v>
      </c>
      <c r="B139" s="1"/>
      <c r="C139" s="1"/>
    </row>
    <row r="140" spans="1:3" x14ac:dyDescent="0.35">
      <c r="A140" t="s">
        <v>83</v>
      </c>
      <c r="B140" s="1">
        <v>-1770</v>
      </c>
      <c r="C140" s="1">
        <v>-1590</v>
      </c>
    </row>
    <row r="141" spans="1:3" x14ac:dyDescent="0.35">
      <c r="B141" s="1"/>
      <c r="C141" s="1"/>
    </row>
    <row r="142" spans="1:3" x14ac:dyDescent="0.35">
      <c r="A142" s="2" t="s">
        <v>84</v>
      </c>
      <c r="B142" s="1"/>
      <c r="C142" s="1"/>
    </row>
    <row r="143" spans="1:3" x14ac:dyDescent="0.35">
      <c r="A143" t="s">
        <v>172</v>
      </c>
      <c r="B143" s="1">
        <v>15714</v>
      </c>
      <c r="C143" s="1">
        <v>19389</v>
      </c>
    </row>
    <row r="144" spans="1:3" x14ac:dyDescent="0.35">
      <c r="A144" t="s">
        <v>173</v>
      </c>
      <c r="B144" s="1">
        <v>2398</v>
      </c>
      <c r="C144" s="1">
        <v>2651</v>
      </c>
    </row>
    <row r="145" spans="1:3" x14ac:dyDescent="0.35">
      <c r="A145" t="s">
        <v>174</v>
      </c>
      <c r="B145" s="1">
        <v>4129</v>
      </c>
      <c r="C145" s="1">
        <v>6220</v>
      </c>
    </row>
    <row r="146" spans="1:3" x14ac:dyDescent="0.35">
      <c r="A146" t="s">
        <v>175</v>
      </c>
      <c r="B146" s="1">
        <v>55</v>
      </c>
      <c r="C146" s="1">
        <v>40</v>
      </c>
    </row>
    <row r="147" spans="1:3" x14ac:dyDescent="0.35">
      <c r="A147" t="s">
        <v>176</v>
      </c>
      <c r="B147" s="1">
        <v>-156</v>
      </c>
      <c r="C147" s="1">
        <v>-34</v>
      </c>
    </row>
    <row r="148" spans="1:3" x14ac:dyDescent="0.35">
      <c r="A148" t="s">
        <v>177</v>
      </c>
      <c r="B148" s="1">
        <v>-6</v>
      </c>
      <c r="C148" s="1">
        <v>-380</v>
      </c>
    </row>
    <row r="149" spans="1:3" x14ac:dyDescent="0.35">
      <c r="A149" t="s">
        <v>178</v>
      </c>
      <c r="B149" s="1">
        <v>-17493</v>
      </c>
      <c r="C149" s="1">
        <v>-23790</v>
      </c>
    </row>
    <row r="150" spans="1:3" x14ac:dyDescent="0.35">
      <c r="A150" t="s">
        <v>179</v>
      </c>
      <c r="B150" s="1">
        <v>-4018</v>
      </c>
      <c r="C150" s="1">
        <v>-3726</v>
      </c>
    </row>
    <row r="151" spans="1:3" x14ac:dyDescent="0.35">
      <c r="A151" t="s">
        <v>180</v>
      </c>
      <c r="B151" s="1">
        <v>-3980</v>
      </c>
      <c r="C151" s="1">
        <v>-6819</v>
      </c>
    </row>
    <row r="152" spans="1:3" x14ac:dyDescent="0.35">
      <c r="A152" t="s">
        <v>181</v>
      </c>
      <c r="B152" s="10">
        <v>-710</v>
      </c>
      <c r="C152" s="10">
        <v>-970</v>
      </c>
    </row>
    <row r="153" spans="1:3" x14ac:dyDescent="0.35">
      <c r="B153" s="1">
        <v>-4067</v>
      </c>
      <c r="C153" s="1">
        <v>-7419</v>
      </c>
    </row>
    <row r="154" spans="1:3" x14ac:dyDescent="0.35">
      <c r="A154" t="s">
        <v>86</v>
      </c>
      <c r="B154" s="1">
        <v>-14</v>
      </c>
      <c r="C154" s="1">
        <v>-74</v>
      </c>
    </row>
    <row r="155" spans="1:3" x14ac:dyDescent="0.35">
      <c r="A155" s="2" t="s">
        <v>87</v>
      </c>
      <c r="B155" s="1">
        <v>490</v>
      </c>
      <c r="C155" s="1">
        <v>166</v>
      </c>
    </row>
    <row r="156" spans="1:3" x14ac:dyDescent="0.35">
      <c r="A156" s="2" t="s">
        <v>88</v>
      </c>
      <c r="B156" s="10">
        <v>3271</v>
      </c>
      <c r="C156" s="10">
        <v>3105</v>
      </c>
    </row>
    <row r="157" spans="1:3" x14ac:dyDescent="0.35">
      <c r="A157" s="2" t="s">
        <v>89</v>
      </c>
      <c r="B157" s="12">
        <v>3761</v>
      </c>
      <c r="C157" s="12">
        <v>3271</v>
      </c>
    </row>
    <row r="158" spans="1:3" x14ac:dyDescent="0.35">
      <c r="A158" s="2" t="s">
        <v>90</v>
      </c>
      <c r="B158" s="1"/>
      <c r="C158" s="1"/>
    </row>
    <row r="159" spans="1:3" x14ac:dyDescent="0.35">
      <c r="A159" t="s">
        <v>91</v>
      </c>
      <c r="B159" s="1">
        <v>3661</v>
      </c>
      <c r="C159" s="1">
        <v>3662</v>
      </c>
    </row>
    <row r="160" spans="1:3" x14ac:dyDescent="0.35">
      <c r="A160" t="s">
        <v>92</v>
      </c>
      <c r="B160" s="1">
        <v>116</v>
      </c>
      <c r="C160" s="1">
        <v>118</v>
      </c>
    </row>
    <row r="161" spans="1:3" x14ac:dyDescent="0.35">
      <c r="A161" t="s">
        <v>93</v>
      </c>
      <c r="B161" s="1">
        <v>352</v>
      </c>
      <c r="C161" s="1">
        <v>344</v>
      </c>
    </row>
  </sheetData>
  <pageMargins left="0.7" right="0.7" top="0.75" bottom="0.75" header="0.3" footer="0.3"/>
  <tableParts count="5">
    <tablePart r:id="rId1"/>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2CB0-3C74-48F6-A0FC-1C79BE7E1C5C}">
  <dimension ref="A1:E47"/>
  <sheetViews>
    <sheetView tabSelected="1" topLeftCell="A19" workbookViewId="0">
      <selection activeCell="C29" sqref="C29"/>
    </sheetView>
  </sheetViews>
  <sheetFormatPr defaultRowHeight="14.5" x14ac:dyDescent="0.35"/>
  <cols>
    <col min="1" max="1" width="47.453125" bestFit="1" customWidth="1"/>
    <col min="2" max="2" width="12.36328125" customWidth="1"/>
    <col min="3" max="3" width="14.453125" customWidth="1"/>
    <col min="4" max="4" width="15.6328125" customWidth="1"/>
    <col min="5" max="5" width="16.90625" customWidth="1"/>
  </cols>
  <sheetData>
    <row r="1" spans="1:5" x14ac:dyDescent="0.35">
      <c r="A1" t="s">
        <v>247</v>
      </c>
    </row>
    <row r="3" spans="1:5" x14ac:dyDescent="0.35">
      <c r="A3" t="s">
        <v>241</v>
      </c>
      <c r="B3" t="s">
        <v>104</v>
      </c>
      <c r="C3" t="s">
        <v>103</v>
      </c>
      <c r="D3" t="s">
        <v>183</v>
      </c>
      <c r="E3" t="s">
        <v>182</v>
      </c>
    </row>
    <row r="4" spans="1:5" x14ac:dyDescent="0.35">
      <c r="A4" t="s">
        <v>240</v>
      </c>
      <c r="B4" s="1" cm="1">
        <f t="array" ref="B4">_xlfn.XLOOKUP(A4,CL2023_Consolidated_Statements_Of_Earnings[[#All],[Consolidated Statements of Earnings (in Canadian $ millions)]],CL2023_Consolidated_Statements_Of_Earnings[[#All],[2022]],"Not Found",0)</f>
        <v>19424</v>
      </c>
      <c r="C4" s="1" cm="1">
        <f t="array" ref="C4">_xlfn.XLOOKUP(A4,CL2023_Consolidated_Statements_Of_Earnings[[#All],[Consolidated Statements of Earnings (in Canadian $ millions)]],CL2023_Consolidated_Statements_Of_Earnings[[#All],[2023]],"Not Found", 0)</f>
        <v>20188</v>
      </c>
      <c r="D4" s="1" cm="1">
        <f t="array" ref="D4">_xlfn.XLOOKUP(A4,CL2024_Consolidated_Statement_Of_Earnings[[#All],[Consolidated Statements of Earnings (in Canadian $ millions)]],CL2024_Consolidated_Statement_Of_Earnings[[#All],[2024]],"Not Found", 0)</f>
        <v>21007</v>
      </c>
      <c r="E4" s="1">
        <f>_xlfn.XLOOKUP(A4,CL2025_Consolidated_Statements_Of_Earnings[Consolidated Statements Of Earnings (in Canadian $ Million)],CL2025_Consolidated_Statements_Of_Earnings[2025],"Not Found",0)</f>
        <v>22131</v>
      </c>
    </row>
    <row r="5" spans="1:5" x14ac:dyDescent="0.35">
      <c r="A5" t="s">
        <v>242</v>
      </c>
      <c r="B5" s="1" cm="1">
        <f t="array" ref="B5">_xlfn.XLOOKUP(A5,CL2023_Consolidated_Statements_Of_Earnings[[#All],[Consolidated Statements of Earnings (in Canadian $ millions)]],CL2023_Consolidated_Statements_Of_Earnings[[#All],[2022]],"Not Found",0)</f>
        <v>-15110</v>
      </c>
      <c r="C5" s="1" cm="1">
        <f t="array" ref="C5">_xlfn.XLOOKUP(A5,CL2023_Consolidated_Statements_Of_Earnings[[#All],[Consolidated Statements of Earnings (in Canadian $ millions)]],CL2023_Consolidated_Statements_Of_Earnings[[#All],[2023]],"Not Found",0)</f>
        <v>-15622</v>
      </c>
      <c r="D5" s="1">
        <f>_xlfn.XLOOKUP(A5,CL2024_Consolidated_Statement_Of_Earnings[Consolidated Statements of Earnings (in Canadian $ millions)],CL2024_Consolidated_Statement_Of_Earnings[2024],"Not Found",0)</f>
        <v>-16165</v>
      </c>
      <c r="E5" s="1">
        <f>_xlfn.XLOOKUP(A5,CL2025_Consolidated_Statements_Of_Earnings[Consolidated Statements Of Earnings (in Canadian $ Million)],CL2025_Consolidated_Statements_Of_Earnings[2025],"Not Found",0)</f>
        <v>-17002</v>
      </c>
    </row>
    <row r="6" spans="1:5" x14ac:dyDescent="0.35">
      <c r="A6" t="s">
        <v>4</v>
      </c>
      <c r="B6" s="1">
        <f>SUM('CL 2023 (Original)'!C26:C28)</f>
        <v>2766</v>
      </c>
      <c r="C6" s="1">
        <f>SUM('CL 2023 (Original)'!B26:B28)</f>
        <v>3002</v>
      </c>
      <c r="D6" s="1">
        <f>SUM('CL 2024 (Original)'!B26:B28)</f>
        <v>3258</v>
      </c>
      <c r="E6" s="1">
        <f>SUM('CL 2025 (Original)'!B26:B28)</f>
        <v>3450</v>
      </c>
    </row>
    <row r="7" spans="1:5" x14ac:dyDescent="0.35">
      <c r="A7" t="s">
        <v>243</v>
      </c>
      <c r="B7" s="1" cm="1">
        <f t="array" ref="B7">_xlfn.XLOOKUP(A7,CL2023_Consolidated_Statements_Of_Earnings[[#All],[Consolidated Statements of Earnings (in Canadian $ millions)]],CL2023_Consolidated_Statements_Of_Earnings[[#All],[2022]],"Not Found",0)</f>
        <v>-2221</v>
      </c>
      <c r="C7" s="1" cm="1">
        <f t="array" ref="C7">_xlfn.XLOOKUP(A7,CL2023_Consolidated_Statements_Of_Earnings[[#All],[Consolidated Statements of Earnings (in Canadian $ millions)]],CL2023_Consolidated_Statements_Of_Earnings[[#All],[2023]],"Not Found",0)</f>
        <v>-2635</v>
      </c>
      <c r="D7" s="1" cm="1">
        <f t="array" ref="D7">_xlfn.XLOOKUP(A7,CL2024_Consolidated_Statement_Of_Earnings[[#All],[Consolidated Statements of Earnings (in Canadian $ millions)]],CL2024_Consolidated_Statement_Of_Earnings[[#All],[2024]],"Not Found",0)</f>
        <v>-3088</v>
      </c>
      <c r="E7" s="1" cm="1">
        <f t="array" ref="E7">_xlfn.XLOOKUP(A7,CL2025_Consolidated_Statements_Of_Earnings[[#All],[Consolidated Statements Of Earnings (in Canadian $ Million)]],CL2025_Consolidated_Statements_Of_Earnings[[#All],[2025]],"Not Found",0)</f>
        <v>-3408</v>
      </c>
    </row>
    <row r="8" spans="1:5" x14ac:dyDescent="0.35">
      <c r="A8" t="s">
        <v>3</v>
      </c>
      <c r="B8" s="1" cm="1">
        <f t="array" ref="B8">_xlfn.XLOOKUP(A8,CL2023_Consolidated_Statements_Of_Earnings[[#All],[Consolidated Statements of Earnings (in Canadian $ millions)]],CL2023_Consolidated_Statements_Of_Earnings[[#All],[2022]],"Not Found",0)</f>
        <v>3286</v>
      </c>
      <c r="C8" s="1" cm="1">
        <f t="array" ref="C8">_xlfn.XLOOKUP(A8,CL2023_Consolidated_Statements_Of_Earnings[[#All],[Consolidated Statements of Earnings (in Canadian $ millions)]],CL2023_Consolidated_Statements_Of_Earnings[[#All],[2023]],"Not Found",0)</f>
        <v>2418</v>
      </c>
      <c r="D8" s="1" cm="1">
        <f t="array" ref="D8">_xlfn.XLOOKUP(A8,CL2024_Consolidated_Statement_Of_Earnings[[#All],[Consolidated Statements of Earnings (in Canadian $ millions)]],CL2024_Consolidated_Statement_Of_Earnings[[#All],[2024]],"Not Found",0)</f>
        <v>3247</v>
      </c>
      <c r="E8" s="1" cm="1">
        <f t="array" ref="E8">_xlfn.XLOOKUP(A8,CL2025_Consolidated_Statements_Of_Earnings[[#All],[Consolidated Statements Of Earnings (in Canadian $ Million)]],CL2025_Consolidated_Statements_Of_Earnings[[#All],[2025]],"Not Found",0)</f>
        <v>2766</v>
      </c>
    </row>
    <row r="9" spans="1:5" x14ac:dyDescent="0.35">
      <c r="A9" t="s">
        <v>7</v>
      </c>
      <c r="B9" s="1" cm="1">
        <f t="array" ref="B9">_xlfn.XLOOKUP(A9,CL2023_Consolidated_Balance_Sheets[[#All],[Consolidated Balance Sheets (in Canadian $ millions)]],CL2023_Consolidated_Balance_Sheets[[#All],[2022]],"Not Found", 0)</f>
        <v>378654</v>
      </c>
      <c r="C9" s="1" cm="1">
        <f t="array" ref="C9">_xlfn.XLOOKUP(A9,CL2023_Consolidated_Balance_Sheets[[#All],[Consolidated Balance Sheets (in Canadian $ millions)]],CL2023_Consolidated_Balance_Sheets[[#All],[2023]],"Not Found",0)</f>
        <v>410616</v>
      </c>
      <c r="D9" s="1" cm="1">
        <f t="array" ref="D9">_xlfn.XLOOKUP(A9,CL2024_Consolidated_Balance_Sheet[[#All],[Consolidated Balance Sheet  (in Canadian $ millions)]],CL2024_Consolidated_Balance_Sheet[[#All],[2024]],"Not Found",0)</f>
        <v>461204</v>
      </c>
      <c r="E9" s="1" cm="1">
        <f t="array" ref="E9">_xlfn.XLOOKUP(A9,CL2025_Consolidated_Balance_Sheet[[#All],[Consolidated Balance Sheet  (in Canadian $ Million)]],CL2025_Consolidated_Balance_Sheet[[#All],[2025]],"Not Found",0)</f>
        <v>505652</v>
      </c>
    </row>
    <row r="10" spans="1:5" x14ac:dyDescent="0.35">
      <c r="A10" t="s">
        <v>60</v>
      </c>
      <c r="B10" s="1" cm="1">
        <f t="array" ref="B10">_xlfn.XLOOKUP(A10,CL2023_Consolidated_Balance_Sheets[[#All],[Consolidated Balance Sheets (in Canadian $ millions)]],CL2023_Consolidated_Balance_Sheets[[#All],[2022]],"Not Found",0)</f>
        <v>355866</v>
      </c>
      <c r="C10" s="1" cm="1">
        <f t="array" ref="C10">_xlfn.XLOOKUP(A10,CL2023_Consolidated_Balance_Sheets[[#All],[Consolidated Balance Sheets (in Canadian $ millions)]],CL2023_Consolidated_Balance_Sheets[[#All],[2023]],"Not Found",0)</f>
        <v>387943</v>
      </c>
      <c r="D10" s="1" cm="1">
        <f t="array" ref="D10">_xlfn.XLOOKUP(A10,CL2024_Consolidated_Balance_Sheet[[#All],[Consolidated Balance Sheet  (in Canadian $ millions)]],CL2024_Consolidated_Balance_Sheet[[#All],[2024]],"Not Found",0)</f>
        <v>437242</v>
      </c>
      <c r="E10" s="1" cm="1">
        <f t="array" ref="E10">_xlfn.XLOOKUP(A10,CL2025_Consolidated_Balance_Sheet[[#All],[Consolidated Balance Sheet  (in Canadian $ Million)]],CL2025_Consolidated_Balance_Sheet[[#All],[2025]],"Not Found",0)</f>
        <v>481632</v>
      </c>
    </row>
    <row r="11" spans="1:5" x14ac:dyDescent="0.35">
      <c r="A11" t="s">
        <v>12</v>
      </c>
      <c r="B11" s="1" cm="1">
        <f t="array" ref="B11">_xlfn.XLOOKUP(A11,CL2023_Financial_Highlights[[#All],[Financial Highlights (unaudited) (in Canadian $ millions)]],CL2023_Financial_Highlights[[#All],[2022]],"Not Found",0)</f>
        <v>20004</v>
      </c>
      <c r="C11" s="1" cm="1">
        <f t="array" ref="C11">_xlfn.XLOOKUP(A11,CL2023_Financial_Highlights[[#All],[Financial Highlights (unaudited) (in Canadian $ millions)]],CL2023_Financial_Highlights[[#All],[2023]],"Not Found",0)</f>
        <v>19813</v>
      </c>
      <c r="D11" s="1" cm="1">
        <f t="array" ref="D11">_xlfn.XLOOKUP(A11,CL2024_Financial_Highlights[[#All],[Financial Highlights (in Canadian $ millions)]],CL2024_Financial_Highlights[[#All],[2024]],"Not Found",0)</f>
        <v>20909</v>
      </c>
      <c r="E11" s="1" cm="1">
        <f t="array" ref="E11">_xlfn.XLOOKUP(A11,CL2025_Financial_Highlights[[#All],[Financial Highlights (Unaudited) (in Canadian $ Million)]],CL2025_Financial_Highlights[[#All],[2025]],"Not Found",0)</f>
        <v>20938</v>
      </c>
    </row>
    <row r="12" spans="1:5" x14ac:dyDescent="0.35">
      <c r="A12" t="s">
        <v>244</v>
      </c>
      <c r="B12" s="1" cm="1">
        <f t="array" ref="B12">_xlfn.XLOOKUP(A12,CL2023_Consolidated_Balance_Sheets[[#All],[Consolidated Balance Sheets (in Canadian $ millions)]],CL2023_Consolidated_Balance_Sheets[[#All],[2022]],"Not Found",0)</f>
        <v>3761</v>
      </c>
      <c r="C12" s="1" cm="1">
        <f t="array" ref="C12">_xlfn.XLOOKUP(A12,CL2023_Consolidated_Balance_Sheets[[#All],[Consolidated Balance Sheets (in Canadian $ millions)]],CL2023_Consolidated_Balance_Sheets[[#All],[2023]],"Not Found",0)</f>
        <v>3944</v>
      </c>
      <c r="D12" s="1" cm="1">
        <f t="array" ref="D12">_xlfn.XLOOKUP(A12,CL2024_Consolidated_Balance_Sheet[[#All],[Consolidated Balance Sheet  (in Canadian $ millions)]],CL2024_Consolidated_Balance_Sheet[[#All],[2024]],"Not Found",0)</f>
        <v>4522</v>
      </c>
      <c r="E12" s="1" cm="1">
        <f t="array" ref="E12">_xlfn.XLOOKUP(A12,CL2025_Consolidated_Balance_Sheet[[#All],[Consolidated Balance Sheet  (in Canadian $ Million)]],CL2025_Consolidated_Balance_Sheet[[#All],[2025]],"Not Found",0)</f>
        <v>4679</v>
      </c>
    </row>
    <row r="13" spans="1:5" x14ac:dyDescent="0.35">
      <c r="A13" t="s">
        <v>245</v>
      </c>
      <c r="B13" s="1" cm="1">
        <f t="array" ref="B13">_xlfn.XLOOKUP(A13,CL2023_Consolidated_Balance_Sheets[[#All],[Consolidated Balance Sheets (in Canadian $ millions)]],CL2023_Consolidated_Balance_Sheets[[#All],[2022]],"Not Found",0)</f>
        <v>747</v>
      </c>
      <c r="C13" s="1" cm="1">
        <f t="array" ref="C13">_xlfn.XLOOKUP(A13,CL2023_Consolidated_Balance_Sheets[[#All],[Consolidated Balance Sheets (in Canadian $ millions)]],CL2023_Consolidated_Balance_Sheets[[#All],[2023]],"Not Found",0)</f>
        <v>748</v>
      </c>
      <c r="D13" s="1" cm="1">
        <f t="array" ref="D13">_xlfn.XLOOKUP(A13,CL2024_Consolidated_Balance_Sheet[[#All],[Consolidated Balance Sheet  (in Canadian $ millions)]],CL2024_Consolidated_Balance_Sheet[[#All],[2024]],"Not Found",0)</f>
        <v>807</v>
      </c>
      <c r="E13" s="1" cm="1">
        <f t="array" ref="E13">_xlfn.XLOOKUP(A13,CL2025_Consolidated_Balance_Sheet[[#All],[Consolidated Balance Sheet  (in Canadian $ Million)]],CL2025_Consolidated_Balance_Sheet[[#All],[2025]],"Not Found",0)</f>
        <v>827</v>
      </c>
    </row>
    <row r="14" spans="1:5" x14ac:dyDescent="0.35">
      <c r="A14" t="s">
        <v>246</v>
      </c>
      <c r="B14" s="1">
        <f>'CL 2023 (Original)'!C137</f>
        <v>2343</v>
      </c>
      <c r="C14" s="1">
        <f>'CL 2023 (Original)'!B137</f>
        <v>3836</v>
      </c>
      <c r="D14" s="1">
        <f>'CL 2024 (Original)'!B132</f>
        <v>3347</v>
      </c>
      <c r="E14" s="1">
        <f>'CL 2025 (Original)'!B135</f>
        <v>3251</v>
      </c>
    </row>
    <row r="15" spans="1:5" x14ac:dyDescent="0.35">
      <c r="A15" t="s">
        <v>8</v>
      </c>
      <c r="B15" s="1" cm="1">
        <f t="array" ref="B15">_xlfn.XLOOKUP(A15,CL2023_Financial_Highlights[[#All],[Financial Highlights (unaudited) (in Canadian $ millions)]],CL2023_Financial_Highlights[[#All],[2022]],"Not Found",0)</f>
        <v>12496</v>
      </c>
      <c r="C15" s="1" cm="1">
        <f t="array" ref="C15">_xlfn.XLOOKUP(A15,CL2023_Financial_Highlights[[#All],[Financial Highlights (unaudited) (in Canadian $ millions)]],CL2023_Financial_Highlights[[#All],[2023]],"Not Found",0)</f>
        <v>12458</v>
      </c>
      <c r="D15" s="1" cm="1">
        <f t="array" ref="D15">_xlfn.XLOOKUP(A15,CL2024_Financial_Highlights[[#All],[Financial Highlights (in Canadian $ millions)]],CL2024_Financial_Highlights[[#All],[2024]],"Not Found",0)</f>
        <v>13243</v>
      </c>
      <c r="E15" s="1" cm="1">
        <f t="array" ref="E15">_xlfn.XLOOKUP(A15,CL2025_Financial_Highlights[[#All],[Financial Highlights (Unaudited) (in Canadian $ Million)]],CL2025_Financial_Highlights[[#All],[2025]],"Not Found",0)</f>
        <v>13494</v>
      </c>
    </row>
    <row r="16" spans="1:5" x14ac:dyDescent="0.35">
      <c r="A16" t="s">
        <v>13</v>
      </c>
      <c r="B16" s="1" cm="1">
        <f t="array" ref="B16">_xlfn.XLOOKUP(A16,CL2023_Financial_Highlights[[#All],[Financial Highlights (unaudited) (in Canadian $ millions)]],CL2023_Financial_Highlights[[#All],[2022]],"Not Found",0)</f>
        <v>22788</v>
      </c>
      <c r="C16" s="1" cm="1">
        <f t="array" ref="C16">_xlfn.XLOOKUP(A16,CL2023_Financial_Highlights[[#All],[Financial Highlights (unaudited) (in Canadian $ millions)]],CL2023_Financial_Highlights[[#All],[2023]],"Not Found",0)</f>
        <v>22673</v>
      </c>
      <c r="D16" s="1" cm="1">
        <f t="array" ref="D16">_xlfn.XLOOKUP(A16,CL2024_Financial_Highlights[[#All],[Financial Highlights (in Canadian $ millions)]],CL2024_Financial_Highlights[[#All],[2024]],"Not Found",0)</f>
        <v>23962</v>
      </c>
      <c r="E16" s="1" cm="1">
        <f t="array" ref="E16">_xlfn.XLOOKUP(A16,CL2025_Financial_Highlights[[#All],[Financial Highlights (Unaudited) (in Canadian $ Million)]],CL2025_Financial_Highlights[[#All],[2025]],"Not Found",0)</f>
        <v>24020</v>
      </c>
    </row>
    <row r="17" spans="1:5" x14ac:dyDescent="0.35">
      <c r="A17" t="s">
        <v>83</v>
      </c>
      <c r="B17" s="1" cm="1">
        <f t="array" ref="B17">_xlfn.XLOOKUP(A17,CL2023_Consolidated_Statements_Of_Cash_Flows[[#All],[Consolidated Statements of Cash Flows (in Canadian $ millions)]],CL2023_Consolidated_Statements_Of_Cash_Flows[[#All],[2022]],"Not Found",0)</f>
        <v>-1770</v>
      </c>
      <c r="C17" s="1" cm="1">
        <f t="array" ref="C17">_xlfn.XLOOKUP(A17,CL2023_Consolidated_Statements_Of_Cash_Flows[[#All],[Consolidated Statements of Cash Flows (in Canadian $ millions)]],CL2023_Consolidated_Statements_Of_Cash_Flows[[#All],[2023]],"Not Found",0)</f>
        <v>-2934</v>
      </c>
      <c r="D17" s="1" cm="1">
        <f t="array" ref="D17">_xlfn.XLOOKUP(A17,CL2024_Consolidated_Statements_Of_Cash_Flow[[#All],[Consolidated Statements of Cash Flow  (in Canadian $ millions)]],CL2024_Consolidated_Statements_Of_Cash_Flow[[#All],[2024]],"Not Found",0)</f>
        <v>-2838</v>
      </c>
      <c r="E17" s="1" cm="1">
        <f t="array" ref="E17">_xlfn.XLOOKUP(A17,CL2025_Consolidated_Statements_Of_Cash_Flow[[#All],[Consolidated Statements of Cash Flow]],CL2025_Consolidated_Statements_Of_Cash_Flow[[#All],[2025]],"Not Found",0)</f>
        <v>-3150</v>
      </c>
    </row>
    <row r="18" spans="1:5" x14ac:dyDescent="0.35">
      <c r="A18" t="s">
        <v>204</v>
      </c>
      <c r="B18" s="20" cm="1">
        <f t="array" ref="B18">_xlfn.XLOOKUP(A18,CL2023_Financial_Highlights[[#All],[Financial Highlights (unaudited) (in Canadian $ millions)]],CL2023_Financial_Highlights[[#All],[2022]],"Not Found",0)</f>
        <v>1.2</v>
      </c>
      <c r="C18" s="20" cm="1">
        <f t="array" ref="C18">_xlfn.XLOOKUP(A18,CL2023_Financial_Highlights[[#All],[Financial Highlights (unaudited) (in Canadian $ millions)]],CL2023_Financial_Highlights[[#All],[2023]],"Not Found",0)</f>
        <v>1.28</v>
      </c>
      <c r="D18" s="20" cm="1">
        <f t="array" ref="D18">_xlfn.XLOOKUP(A18,CL2024_Financial_Highlights[[#All],[Financial Highlights (in Canadian $ millions)]],CL2024_Financial_Highlights[[#All],[2024]],"Not Found",0)</f>
        <v>1.3</v>
      </c>
      <c r="E18" s="20" cm="1">
        <f t="array" ref="E18">_xlfn.XLOOKUP(A18,CL2025_Financial_Highlights[[#All],[Financial Highlights (Unaudited) (in Canadian $ Million)]],CL2025_Financial_Highlights[[#All],[2025]],"Not Found",0)</f>
        <v>1.28</v>
      </c>
    </row>
    <row r="21" spans="1:5" x14ac:dyDescent="0.35">
      <c r="A21" t="s">
        <v>248</v>
      </c>
      <c r="B21">
        <v>2022</v>
      </c>
      <c r="C21">
        <v>2023</v>
      </c>
      <c r="D21">
        <v>2024</v>
      </c>
      <c r="E21">
        <v>2025</v>
      </c>
    </row>
    <row r="22" spans="1:5" x14ac:dyDescent="0.35">
      <c r="A22" t="s">
        <v>249</v>
      </c>
      <c r="B22" s="22">
        <f>B8/B4</f>
        <v>0.16917215815485998</v>
      </c>
      <c r="C22" s="22">
        <f t="shared" ref="C22:E22" si="0">C8/C4</f>
        <v>0.11977412324152963</v>
      </c>
      <c r="D22" s="22">
        <f t="shared" si="0"/>
        <v>0.1545675251106774</v>
      </c>
      <c r="E22" s="22">
        <f t="shared" si="0"/>
        <v>0.12498305544259183</v>
      </c>
    </row>
    <row r="23" spans="1:5" x14ac:dyDescent="0.35">
      <c r="A23" t="s">
        <v>250</v>
      </c>
      <c r="B23" s="22">
        <f>B8/((B9+416689)/2)</f>
        <v>8.2631015800730002E-3</v>
      </c>
      <c r="C23" s="22">
        <f>C8/AVERAGE(B9:C9)</f>
        <v>6.127180812649664E-3</v>
      </c>
      <c r="D23" s="22">
        <f t="shared" ref="D23:E23" si="1">D8/AVERAGE(C9:D9)</f>
        <v>7.4487852997178316E-3</v>
      </c>
      <c r="E23" s="22">
        <f t="shared" si="1"/>
        <v>5.7216379688392067E-3</v>
      </c>
    </row>
    <row r="24" spans="1:5" x14ac:dyDescent="0.35">
      <c r="A24" t="s">
        <v>251</v>
      </c>
      <c r="B24" s="22">
        <f>B8/((B11+18719)/2)</f>
        <v>0.16971825530046741</v>
      </c>
      <c r="C24" s="22">
        <f>C8/((C11+19973)/2)</f>
        <v>0.12155029407329211</v>
      </c>
      <c r="D24" s="22">
        <f>D8/AVERAGE(C11:D11)</f>
        <v>0.15947153872599579</v>
      </c>
      <c r="E24" s="22">
        <f>E8/AVERAGE(D11:E11)</f>
        <v>0.13219585633378736</v>
      </c>
    </row>
    <row r="25" spans="1:5" x14ac:dyDescent="0.35">
      <c r="A25" t="s">
        <v>252</v>
      </c>
      <c r="B25" s="22">
        <f>B8/((B16+21730)/2)</f>
        <v>0.14762567950042679</v>
      </c>
      <c r="C25" s="22">
        <f>C8/((C16+22757)/2)</f>
        <v>0.10644948272066916</v>
      </c>
      <c r="D25" s="22">
        <f>D8/AVERAGE(C16:D16)</f>
        <v>0.13925163503806154</v>
      </c>
      <c r="E25" s="22">
        <f>E8/AVERAGE(D16:E16)</f>
        <v>0.11529323496311117</v>
      </c>
    </row>
    <row r="26" spans="1:5" x14ac:dyDescent="0.35">
      <c r="A26" t="s">
        <v>253</v>
      </c>
      <c r="B26" s="22">
        <f>B6/B4</f>
        <v>0.14240115321252059</v>
      </c>
      <c r="C26" s="22">
        <f t="shared" ref="C26:E26" si="2">C6/C4</f>
        <v>0.14870219932633247</v>
      </c>
      <c r="D26" s="22">
        <f t="shared" si="2"/>
        <v>0.15509116008949397</v>
      </c>
      <c r="E26" s="22">
        <f t="shared" si="2"/>
        <v>0.1558899281550766</v>
      </c>
    </row>
    <row r="27" spans="1:5" x14ac:dyDescent="0.35">
      <c r="A27" t="s">
        <v>254</v>
      </c>
      <c r="B27" s="22">
        <f>ABS(B5)/B4</f>
        <v>0.77790362438220761</v>
      </c>
      <c r="C27" s="22">
        <f t="shared" ref="C27:E27" si="3">ABS(C5)/C4</f>
        <v>0.77382603526847638</v>
      </c>
      <c r="D27" s="22">
        <f t="shared" si="3"/>
        <v>0.76950540296091774</v>
      </c>
      <c r="E27" s="22">
        <f t="shared" si="3"/>
        <v>0.76824364014278612</v>
      </c>
    </row>
    <row r="28" spans="1:5" x14ac:dyDescent="0.35">
      <c r="A28" t="s">
        <v>255</v>
      </c>
      <c r="B28" s="22">
        <f>(B4-ABS(B5)-B6)/B4</f>
        <v>7.9695222405271826E-2</v>
      </c>
      <c r="C28" s="22">
        <f t="shared" ref="C28:E28" si="4">(C4-ABS(C5)-C6)/C4</f>
        <v>7.7471765405191198E-2</v>
      </c>
      <c r="D28" s="22">
        <f t="shared" si="4"/>
        <v>7.5403436949588232E-2</v>
      </c>
      <c r="E28" s="22">
        <f t="shared" si="4"/>
        <v>7.5866431702137277E-2</v>
      </c>
    </row>
    <row r="29" spans="1:5" x14ac:dyDescent="0.35">
      <c r="A29" t="s">
        <v>256</v>
      </c>
    </row>
    <row r="30" spans="1:5" ht="15" thickBot="1" x14ac:dyDescent="0.4">
      <c r="A30" t="s">
        <v>257</v>
      </c>
    </row>
    <row r="31" spans="1:5" ht="17" thickBot="1" x14ac:dyDescent="0.4">
      <c r="A31" t="s">
        <v>258</v>
      </c>
      <c r="B31" s="21"/>
    </row>
    <row r="32" spans="1:5" x14ac:dyDescent="0.35">
      <c r="A32" t="s">
        <v>259</v>
      </c>
    </row>
    <row r="33" spans="1:1" x14ac:dyDescent="0.35">
      <c r="A33" t="s">
        <v>260</v>
      </c>
    </row>
    <row r="34" spans="1:1" x14ac:dyDescent="0.35">
      <c r="A34" t="s">
        <v>261</v>
      </c>
    </row>
    <row r="35" spans="1:1" x14ac:dyDescent="0.35">
      <c r="A35" t="s">
        <v>262</v>
      </c>
    </row>
    <row r="36" spans="1:1" x14ac:dyDescent="0.35">
      <c r="A36" t="s">
        <v>263</v>
      </c>
    </row>
    <row r="37" spans="1:1" x14ac:dyDescent="0.35">
      <c r="A37" t="s">
        <v>264</v>
      </c>
    </row>
    <row r="38" spans="1:1" x14ac:dyDescent="0.35">
      <c r="A38" t="s">
        <v>265</v>
      </c>
    </row>
    <row r="39" spans="1:1" x14ac:dyDescent="0.35">
      <c r="A39" t="s">
        <v>266</v>
      </c>
    </row>
    <row r="40" spans="1:1" x14ac:dyDescent="0.35">
      <c r="A40" t="s">
        <v>267</v>
      </c>
    </row>
    <row r="41" spans="1:1" x14ac:dyDescent="0.35">
      <c r="A41" t="s">
        <v>268</v>
      </c>
    </row>
    <row r="42" spans="1:1" x14ac:dyDescent="0.35">
      <c r="A42" t="s">
        <v>269</v>
      </c>
    </row>
    <row r="43" spans="1:1" x14ac:dyDescent="0.35">
      <c r="A43" t="s">
        <v>270</v>
      </c>
    </row>
    <row r="44" spans="1:1" x14ac:dyDescent="0.35">
      <c r="A44" t="s">
        <v>271</v>
      </c>
    </row>
    <row r="45" spans="1:1" x14ac:dyDescent="0.35">
      <c r="A45" t="s">
        <v>272</v>
      </c>
    </row>
    <row r="46" spans="1:1" x14ac:dyDescent="0.35">
      <c r="A46" t="s">
        <v>273</v>
      </c>
    </row>
    <row r="47" spans="1:1" x14ac:dyDescent="0.35">
      <c r="A47" t="s">
        <v>274</v>
      </c>
    </row>
  </sheetData>
  <pageMargins left="0.7" right="0.7" top="0.75" bottom="0.75" header="0.3" footer="0.3"/>
  <ignoredErrors>
    <ignoredError sqref="C8" calculatedColumn="1"/>
  </ignoredErrors>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3CDC7D-CFA4-4634-85CA-DA4223BD57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 2025 (Original)</vt:lpstr>
      <vt:lpstr>CL 2024 (Original)</vt:lpstr>
      <vt:lpstr>CL 2023 (Original)</vt:lpstr>
      <vt:lpstr>CL 2022 (Original)</vt:lpstr>
      <vt:lpstr>CL Consolidated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 Eugene</dc:creator>
  <cp:lastModifiedBy>Han, Eugene</cp:lastModifiedBy>
  <dcterms:created xsi:type="dcterms:W3CDTF">2026-08-30T18:41:48Z</dcterms:created>
  <dcterms:modified xsi:type="dcterms:W3CDTF">2026-09-06T23:37:55Z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07bbe84-2447-47ed-9f95-d9c34bc076ba_Enabled">
    <vt:lpwstr>true</vt:lpwstr>
  </property>
  <property fmtid="{D5CDD505-2E9C-101B-9397-08002B2CF9AE}" pid="3" name="MSIP_Label_b07bbe84-2447-47ed-9f95-d9c34bc076ba_SetDate">
    <vt:lpwstr>2026-08-30T19:25:00Z</vt:lpwstr>
  </property>
  <property fmtid="{D5CDD505-2E9C-101B-9397-08002B2CF9AE}" pid="4" name="MSIP_Label_b07bbe84-2447-47ed-9f95-d9c34bc076ba_Method">
    <vt:lpwstr>Standard</vt:lpwstr>
  </property>
  <property fmtid="{D5CDD505-2E9C-101B-9397-08002B2CF9AE}" pid="5" name="MSIP_Label_b07bbe84-2447-47ed-9f95-d9c34bc076ba_Name">
    <vt:lpwstr>Confidential</vt:lpwstr>
  </property>
  <property fmtid="{D5CDD505-2E9C-101B-9397-08002B2CF9AE}" pid="6" name="MSIP_Label_b07bbe84-2447-47ed-9f95-d9c34bc076ba_SiteId">
    <vt:lpwstr>633f3069-d670-4419-9fee-2ab4251c88ee</vt:lpwstr>
  </property>
  <property fmtid="{D5CDD505-2E9C-101B-9397-08002B2CF9AE}" pid="7" name="MSIP_Label_b07bbe84-2447-47ed-9f95-d9c34bc076ba_ActionId">
    <vt:lpwstr>aaf21123-adfd-4ddb-8e3a-db6cc8e72640</vt:lpwstr>
  </property>
  <property fmtid="{D5CDD505-2E9C-101B-9397-08002B2CF9AE}" pid="8" name="MSIP_Label_b07bbe84-2447-47ed-9f95-d9c34bc076ba_ContentBits">
    <vt:lpwstr>0</vt:lpwstr>
  </property>
  <property fmtid="{D5CDD505-2E9C-101B-9397-08002B2CF9AE}" pid="9" name="MSIP_Label_b07bbe84-2447-47ed-9f95-d9c34bc076ba_Tag">
    <vt:lpwstr>10, 3, 0, 1</vt:lpwstr>
  </property>
</Properties>
</file>