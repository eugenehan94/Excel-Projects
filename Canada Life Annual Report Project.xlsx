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GMU058\Downloads\"/>
    </mc:Choice>
  </mc:AlternateContent>
  <xr:revisionPtr revIDLastSave="0" documentId="13_ncr:1_{00970483-80E7-419D-9B3C-93B76A3434B4}" xr6:coauthVersionLast="47" xr6:coauthVersionMax="47" xr10:uidLastSave="{00000000-0000-0000-0000-000000000000}"/>
  <bookViews>
    <workbookView xWindow="-110" yWindow="-110" windowWidth="19420" windowHeight="11500" firstSheet="2" activeTab="4" xr2:uid="{3CB541B1-AEC2-4997-AFCF-80587D906177}"/>
  </bookViews>
  <sheets>
    <sheet name="CL 2025 (Original)" sheetId="1" r:id="rId1"/>
    <sheet name="CL 2024 (Original)" sheetId="2" r:id="rId2"/>
    <sheet name="CL 2023 (Original)" sheetId="13" r:id="rId3"/>
    <sheet name="CL 2022 (Original)" sheetId="15" r:id="rId4"/>
    <sheet name="CL Consolidated Summary" sheetId="16" r:id="rId5"/>
  </sheets>
  <definedNames>
    <definedName name="ExternalData_2" localSheetId="0" hidden="1">'CL 2025 (Original)'!$A$24:$C$54</definedName>
    <definedName name="ExternalData_3" localSheetId="0" hidden="1">'CL 2025 (Original)'!$A$58:$C$106</definedName>
    <definedName name="ExternalData_4" localSheetId="0" hidden="1">'CL 2025 (Original)'!$A$109:$I$117</definedName>
    <definedName name="ExternalData_5" localSheetId="0" hidden="1">'CL 2025 (Original)'!$A$121:$C$149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7" i="16" l="1" a="1"/>
  <c r="E17" i="16"/>
  <c r="D17" i="16" a="1"/>
  <c r="D17" i="16"/>
  <c r="C17" i="16" a="1"/>
  <c r="C17" i="16" s="1"/>
  <c r="B17" i="16" a="1"/>
  <c r="B17" i="16" s="1"/>
  <c r="C21" i="13"/>
  <c r="E16" i="16" a="1"/>
  <c r="E16" i="16" s="1"/>
  <c r="D16" i="16" a="1"/>
  <c r="D16" i="16" s="1"/>
  <c r="C16" i="16" a="1"/>
  <c r="C16" i="16" s="1"/>
  <c r="B16" i="16" a="1"/>
  <c r="B16" i="16" s="1"/>
  <c r="E15" i="16" a="1"/>
  <c r="E15" i="16" s="1"/>
  <c r="D15" i="16" a="1"/>
  <c r="D15" i="16" s="1"/>
  <c r="C15" i="16" a="1"/>
  <c r="C15" i="16" s="1"/>
  <c r="B15" i="16" a="1"/>
  <c r="B15" i="16" s="1"/>
  <c r="E14" i="16" a="1"/>
  <c r="E14" i="16" s="1"/>
  <c r="D14" i="16" a="1"/>
  <c r="D14" i="16" s="1"/>
  <c r="C14" i="16" a="1"/>
  <c r="C14" i="16" s="1"/>
  <c r="B14" i="16" a="1"/>
  <c r="B14" i="16" s="1"/>
  <c r="E13" i="16" a="1"/>
  <c r="E13" i="16" s="1"/>
  <c r="D13" i="16" a="1"/>
  <c r="D13" i="16" s="1"/>
  <c r="C13" i="16" a="1"/>
  <c r="C13" i="16" s="1"/>
  <c r="B13" i="16" a="1"/>
  <c r="B13" i="16" s="1"/>
  <c r="E12" i="16"/>
  <c r="D12" i="16"/>
  <c r="C12" i="16"/>
  <c r="B12" i="16"/>
  <c r="E11" i="16" a="1"/>
  <c r="E11" i="16" s="1"/>
  <c r="D11" i="16" a="1"/>
  <c r="D11" i="16" s="1"/>
  <c r="C11" i="16" a="1"/>
  <c r="C11" i="16" s="1"/>
  <c r="B11" i="16" a="1"/>
  <c r="B11" i="16" s="1"/>
  <c r="E10" i="16" a="1"/>
  <c r="E10" i="16" s="1"/>
  <c r="D10" i="16" a="1"/>
  <c r="D10" i="16" s="1"/>
  <c r="C10" i="16" a="1"/>
  <c r="C10" i="16" s="1"/>
  <c r="B10" i="16" a="1"/>
  <c r="B10" i="16" s="1"/>
  <c r="E9" i="16" a="1"/>
  <c r="E9" i="16" s="1"/>
  <c r="D9" i="16" a="1"/>
  <c r="D9" i="16" s="1"/>
  <c r="C9" i="16" a="1"/>
  <c r="C9" i="16" s="1"/>
  <c r="B9" i="16" a="1"/>
  <c r="B9" i="16" s="1"/>
  <c r="E8" i="16" a="1"/>
  <c r="E8" i="16" s="1"/>
  <c r="D8" i="16" a="1"/>
  <c r="D8" i="16" s="1"/>
  <c r="C8" i="16" a="1"/>
  <c r="C8" i="16" s="1"/>
  <c r="B8" i="16" a="1"/>
  <c r="B8" i="16" s="1"/>
  <c r="E7" i="16" a="1"/>
  <c r="E7" i="16" s="1"/>
  <c r="D7" i="16" a="1"/>
  <c r="D7" i="16" s="1"/>
  <c r="C7" i="16" a="1"/>
  <c r="C7" i="16" s="1"/>
  <c r="B7" i="16" a="1"/>
  <c r="B7" i="16" s="1"/>
  <c r="E6" i="16" a="1"/>
  <c r="E6" i="16" s="1"/>
  <c r="D6" i="16" a="1"/>
  <c r="D6" i="16" s="1"/>
  <c r="C6" i="16" a="1"/>
  <c r="C6" i="16" s="1"/>
  <c r="B6" i="16" a="1"/>
  <c r="B6" i="16" s="1"/>
  <c r="E5" i="16" a="1"/>
  <c r="E5" i="16" s="1"/>
  <c r="D5" i="16" a="1"/>
  <c r="D5" i="16" s="1"/>
  <c r="C5" i="16" a="1"/>
  <c r="C5" i="16" s="1"/>
  <c r="B5" i="16" a="1"/>
  <c r="B5" i="16" s="1"/>
  <c r="B4" i="16"/>
  <c r="C4" i="16"/>
  <c r="D4" i="16"/>
  <c r="E4" i="16"/>
  <c r="B3" i="16" a="1"/>
  <c r="B3" i="16" s="1"/>
  <c r="D3" i="16"/>
  <c r="C3" i="16" a="1"/>
  <c r="C3" i="16" s="1"/>
  <c r="E2" i="16"/>
  <c r="E3" i="16"/>
  <c r="B2" i="16" a="1"/>
  <c r="B2" i="16" s="1"/>
  <c r="C2" i="16" a="1"/>
  <c r="C2" i="16" s="1"/>
  <c r="D2" i="16" a="1"/>
  <c r="D2"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 Eugene</author>
  </authors>
  <commentList>
    <comment ref="A2" authorId="0" shapeId="0" xr:uid="{2F1AC64B-51DF-41DB-A3BA-D2F7A4C31212}">
      <text>
        <r>
          <rPr>
            <sz val="9"/>
            <color indexed="81"/>
            <rFont val="Tahoma"/>
            <charset val="1"/>
          </rPr>
          <t xml:space="preserve">Canada Life adopted IFRS 17 beginning in 2023, which introduced the “Insurance revenue” line used in the newer annual reports. Therefore, 2022 Total net premiums is not directly comparable to 2023 to 2025 Insurance revenue because the accounting basis changed. Since 2023, restated the 2022 annual, we will be dropping the 2021.
</t>
        </r>
      </text>
    </comment>
    <comment ref="A3" authorId="0" shapeId="0" xr:uid="{87F8FDE5-D62D-4E7F-A4BA-16BB35468722}">
      <text>
        <r>
          <rPr>
            <sz val="9"/>
            <color indexed="81"/>
            <rFont val="Tahoma"/>
            <charset val="1"/>
          </rPr>
          <t xml:space="preserve">For insurance companies, the cost of revenue (COGS) is close to the insurance service expenses
</t>
        </r>
      </text>
    </comment>
    <comment ref="A4" authorId="0" shapeId="0" xr:uid="{30CFD3FD-CCDC-4029-927A-6AAD5D42226B}">
      <text>
        <r>
          <rPr>
            <sz val="9"/>
            <color indexed="81"/>
            <rFont val="Tahoma"/>
            <charset val="1"/>
          </rPr>
          <t xml:space="preserve">The insurance service result is the gross profit equivalent. 
Gross profit is mainly used for mainly for manufacturing or retail companies, while Canada Life (CL) is an insurer operating under IFRS 17.
Canada Life’s annual reports do not contain a line specifically called “Operating Income.” For an insurance company, the closest reported operating subtotal is generally Insurance service result, but it does not include all investment income, fee income, or administrative expenses.
Insurance service result = insurance revenue - insurance service expenses - Net expense from reinsurance contracts.
</t>
        </r>
      </text>
    </comment>
    <comment ref="A5" authorId="0" shapeId="0" xr:uid="{52185BAC-91F8-4007-BE14-C8BC8372536E}">
      <text>
        <r>
          <rPr>
            <sz val="9"/>
            <color indexed="81"/>
            <rFont val="Tahoma"/>
            <charset val="1"/>
          </rPr>
          <t xml:space="preserve">This is the "Operating Expenses" equivalent. 
</t>
        </r>
        <r>
          <rPr>
            <b/>
            <sz val="9"/>
            <color indexed="81"/>
            <rFont val="Tahoma"/>
            <family val="2"/>
          </rPr>
          <t>NOTE:</t>
        </r>
        <r>
          <rPr>
            <sz val="9"/>
            <color indexed="81"/>
            <rFont val="Tahoma"/>
            <charset val="1"/>
          </rPr>
          <t xml:space="preserve"> Canada Life also reports Insurance service expenses, which are different from operating and administrative expenses: Insurance service expenses relate directly to fulfilling insurance contracts, while operating and administrative expenses represent broader business operating costs. Both appear in the Consolidated Statements of Earnings, but in separate sections.
</t>
        </r>
      </text>
    </comment>
    <comment ref="A6" authorId="0" shapeId="0" xr:uid="{1659F652-C2DB-4293-8464-90B77BE23056}">
      <text>
        <r>
          <rPr>
            <sz val="9"/>
            <color indexed="81"/>
            <rFont val="Tahoma"/>
            <family val="2"/>
          </rPr>
          <t>Canada Life uses the term“Net earnings” instead of“Net income.”</t>
        </r>
      </text>
    </comment>
    <comment ref="A11" authorId="0" shapeId="0" xr:uid="{BC8F9592-D229-4214-BF29-23C47D38A133}">
      <text>
        <r>
          <rPr>
            <sz val="9"/>
            <color indexed="81"/>
            <rFont val="Tahoma"/>
            <family val="2"/>
          </rPr>
          <t>Canada Life does not report a single line called “Total debt.” The closest directly reported debt amount is“Debentures and other debt instruments”
Canada Life also reports Preferred shares of $1,000 million in each of 2023, 2024, and 2025 within liabilities. However, preferred shares should not automatically be included in total debt unless your assignment specifically defines debt to include preferred capital.
Do not use Total liabilities as total debt. Total liabilities also include insurance-contract liabilities, investment-contract liabilities, accounts payable, taxes, derivatives, and segregated-fund contract liabilities. For a standard financial comparison, Debentures and other debt instruments is the safest match for Total Debt.</t>
        </r>
      </text>
    </comment>
    <comment ref="A12" authorId="0" shapeId="0" xr:uid="{49202555-5642-4FDD-9E1A-C531441A6D5B}">
      <text>
        <r>
          <rPr>
            <sz val="9"/>
            <color indexed="81"/>
            <rFont val="Tahoma"/>
            <family val="2"/>
          </rPr>
          <t>For Canada Life, the annual reports do not explicitly label a line as "Operating Cash Flow". Instead, the net cash provided by operating activities is the subtotal at the bottom of the Operations section</t>
        </r>
        <r>
          <rPr>
            <b/>
            <sz val="9"/>
            <color indexed="81"/>
            <rFont val="Tahoma"/>
            <charset val="1"/>
          </rPr>
          <t>.</t>
        </r>
        <r>
          <rPr>
            <sz val="9"/>
            <color indexed="81"/>
            <rFont val="Tahoma"/>
            <charset val="1"/>
          </rPr>
          <t xml:space="preserve">
Important note for insurers
For insurers such as Canada Life, operating cash flow is often less useful than for industrial companies because large policyholder liabilities and investment portfolio movements can create significant swings in cash flow. Analysts typically focus more on: Net earnings, Insurance service result, LICAT ratio, Contractual Service Margin (CSM), Book value / shareholder equity</t>
        </r>
      </text>
    </comment>
    <comment ref="A13" authorId="0" shapeId="0" xr:uid="{6E6F5986-C5FF-4C2E-90CF-37E0CC3DF7DD}">
      <text>
        <r>
          <rPr>
            <b/>
            <sz val="9"/>
            <color indexed="81"/>
            <rFont val="Tahoma"/>
            <family val="2"/>
          </rPr>
          <t xml:space="preserve">CSM (Contractual Service Margin)
</t>
        </r>
        <r>
          <rPr>
            <sz val="9"/>
            <color indexed="81"/>
            <rFont val="Tahoma"/>
            <family val="2"/>
          </rPr>
          <t>The future profits that Canada Life expects to earn from insurance contracts that have already been sold.
Example -Suppose Canada Life sells a long-term life insurance policy today.
The company expects:
Premiums received over time = $10,000
Claims and expenses = $8,000
Under IFRS 17, Canada Life cannot recognize the entire $2,000 profit immediately. Then the company gradually recognizes that profit over the life of the contract.
A larger CSM means: More future earnings already locked in,  Greater earnings visibility, More profitable business written, Strong future cash generation potential
For many insurers, CSM is viewed almost like an "order backlog."</t>
        </r>
      </text>
    </comment>
    <comment ref="A17" authorId="0" shapeId="0" xr:uid="{07E7F086-D1ED-4C08-B9ED-98813F81BF49}">
      <text>
        <r>
          <rPr>
            <sz val="9"/>
            <color indexed="81"/>
            <rFont val="Tahoma"/>
            <family val="2"/>
          </rPr>
          <t>LICAT is Canada's regulatory capital ratio for life insurers, established by the Office of the Superintendent of Financial Institutions (OSFI).</t>
        </r>
        <r>
          <rPr>
            <sz val="9"/>
            <color indexed="81"/>
            <rFont val="Tahoma"/>
            <charset val="1"/>
          </rPr>
          <t xml:space="preserve">
A higher ratio means the insurer has a larger cushion against adverse events such as: Market crashes, Interest rate shocks, Higher-than-expected death claims, Disability claims, Longevity risk, Credit losses, Operational failures.
Why investors care - A high LICAT ratio means: Greater ability to withstand recessions, Better claim-paying ability, Lower insolvency risk, More flexibility to pay dividends, More room for growth and acquisitions, For insurers, a LICAT of around 120%-130%+ is generally considered strong.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<sst xmlns="http://schemas.openxmlformats.org/spreadsheetml/2006/main" count="726" uniqueCount="247">
  <si>
    <t>Summary of net earnings attributable to:</t>
  </si>
  <si>
    <t>Participating account</t>
  </si>
  <si>
    <t>Common shareholder</t>
  </si>
  <si>
    <t>Net earnings</t>
  </si>
  <si>
    <t>Insurance service result</t>
  </si>
  <si>
    <t>Net investment result</t>
  </si>
  <si>
    <t>Fee and other income</t>
  </si>
  <si>
    <t>Total assets</t>
  </si>
  <si>
    <t>Total contractual service margin (net of reinsurance held)</t>
  </si>
  <si>
    <t>Participating account surplus</t>
  </si>
  <si>
    <t>Non-controlling interests</t>
  </si>
  <si>
    <t>–</t>
  </si>
  <si>
    <t>Shareholders’ equity</t>
  </si>
  <si>
    <t>Total equity</t>
  </si>
  <si>
    <t>Net expense from reinsurance contracts</t>
  </si>
  <si>
    <t>Net investment result (note 6)</t>
  </si>
  <si>
    <t>Net investment income</t>
  </si>
  <si>
    <t>Changes in fair value on fair value through profit or loss assets</t>
  </si>
  <si>
    <t>Net finance income (expenses) from insurance contracts</t>
  </si>
  <si>
    <t>Net finance income (expenses) from reinsurance contracts</t>
  </si>
  <si>
    <t>Changes in investment contract liabilities</t>
  </si>
  <si>
    <t>Net investment result - insurance contracts on account of segregated fund policyholders</t>
  </si>
  <si>
    <t>—</t>
  </si>
  <si>
    <t>Other income and expenses</t>
  </si>
  <si>
    <t>Amortization of finite life intangible assets (note 9)</t>
  </si>
  <si>
    <t>Financing costs (note 19)</t>
  </si>
  <si>
    <t>Restructuring and integration expenses (note 4)</t>
  </si>
  <si>
    <t>Earnings before income taxes</t>
  </si>
  <si>
    <t>Income taxes (note 29)</t>
  </si>
  <si>
    <t>Net earnings before non-controlling interests</t>
  </si>
  <si>
    <t>Attributable to non-controlling interests (note 22)</t>
  </si>
  <si>
    <t>Net earnings - participating account (note 21)</t>
  </si>
  <si>
    <t>Net earnings - common shareholder</t>
  </si>
  <si>
    <t>Cash and cash equivalents (note 5)</t>
  </si>
  <si>
    <t>Bonds (note 6)</t>
  </si>
  <si>
    <t>Mortgage loans (note 6)</t>
  </si>
  <si>
    <t>Stocks (note 6)</t>
  </si>
  <si>
    <t>Investment properties (note 6)</t>
  </si>
  <si>
    <t>Insurance contract assets (note 14)</t>
  </si>
  <si>
    <t>Reinsurance contract held assets (note 15)</t>
  </si>
  <si>
    <t>Goodwill (note 9)</t>
  </si>
  <si>
    <t>Intangible assets (note 9)</t>
  </si>
  <si>
    <t>Derivative financial instruments (note 30)</t>
  </si>
  <si>
    <t>Owner occupied properties (note 10)</t>
  </si>
  <si>
    <t>Fixed assets (note 10)</t>
  </si>
  <si>
    <t>Accounts and interest receivable</t>
  </si>
  <si>
    <t>Other assets (note 11)</t>
  </si>
  <si>
    <t>Current income taxes</t>
  </si>
  <si>
    <t>Deferred tax assets (note 29)</t>
  </si>
  <si>
    <t>Investments on account of segregated fund policyholders (note 17)</t>
  </si>
  <si>
    <t>Liabilities</t>
  </si>
  <si>
    <t>Insurance contract liabilities (note 14)</t>
  </si>
  <si>
    <t>Investment contract liabilities (note 16)</t>
  </si>
  <si>
    <t>Reinsurance contract held liabilities (note 15)</t>
  </si>
  <si>
    <t>Preferred shares (note 23)</t>
  </si>
  <si>
    <t>Accounts payable</t>
  </si>
  <si>
    <t>Other liabilities (note 20)</t>
  </si>
  <si>
    <t>Deferred tax liabilities (note 29)</t>
  </si>
  <si>
    <t>Insurance contracts on account of segregated fund policyholders (note 17)</t>
  </si>
  <si>
    <t>Investment contracts on account of segregated fund policyholders (note 17)</t>
  </si>
  <si>
    <t>Total liabilities</t>
  </si>
  <si>
    <t>Equity</t>
  </si>
  <si>
    <t>Participating account surplus (note 21)</t>
  </si>
  <si>
    <t>Non-controlling interests (note 22)</t>
  </si>
  <si>
    <t>Shareholder's equity</t>
  </si>
  <si>
    <t>Share capital</t>
  </si>
  <si>
    <t>Common shares (note 23)</t>
  </si>
  <si>
    <t>Accumulated surplus</t>
  </si>
  <si>
    <t>Accumulated other comprehensive income (note 27)</t>
  </si>
  <si>
    <t>Contributed surplus</t>
  </si>
  <si>
    <t>Total liabilities and equity</t>
  </si>
  <si>
    <t>Income taxes paid, net of refunds received</t>
  </si>
  <si>
    <t>Adjustments:</t>
  </si>
  <si>
    <t>Change in insurance contract liabilities</t>
  </si>
  <si>
    <t>Change in investment contract liabilities</t>
  </si>
  <si>
    <t>Change in reinsurance contract held liabilities</t>
  </si>
  <si>
    <t>Change in reinsurance contract held assets</t>
  </si>
  <si>
    <t>Change in insurance contract assets</t>
  </si>
  <si>
    <t>Changes in fair value through profit or loss</t>
  </si>
  <si>
    <t>Sales, maturities and repayments of portfolio investments</t>
  </si>
  <si>
    <t>Purchases of portfolio investments</t>
  </si>
  <si>
    <t>Other</t>
  </si>
  <si>
    <t>Financing Activities</t>
  </si>
  <si>
    <t>Dividends paid on common shares</t>
  </si>
  <si>
    <t>Investment Activities</t>
  </si>
  <si>
    <t>Investment in associates and joint ventures</t>
  </si>
  <si>
    <t>Effect of changes in exchange rates on cash and cash equivalents</t>
  </si>
  <si>
    <t>Increase in cash and cash equivalents</t>
  </si>
  <si>
    <t>Cash and cash equivalents, beginning of year</t>
  </si>
  <si>
    <t>Cash and cash equivalents, end of year</t>
  </si>
  <si>
    <t>Supplementary cash flow information</t>
  </si>
  <si>
    <t>Interest income received</t>
  </si>
  <si>
    <t>Interest paid</t>
  </si>
  <si>
    <t>Dividend income received</t>
  </si>
  <si>
    <t>Total assets under management</t>
  </si>
  <si>
    <t>Net investment income (loss)</t>
  </si>
  <si>
    <t>Restructuring expenses (note 4)</t>
  </si>
  <si>
    <t>Accumulated other comprehensive income (loss) (note 27)</t>
  </si>
  <si>
    <t>(71) $</t>
  </si>
  <si>
    <t>Effect of changes in exchange rates on cash and cash e?uivalents</t>
  </si>
  <si>
    <t>Increase in cash and cash e&gt;uivalents</t>
  </si>
  <si>
    <t>(Restated)</t>
  </si>
  <si>
    <t>Net earnings (loss) - participating account (note 21)</t>
  </si>
  <si>
    <t>2023</t>
  </si>
  <si>
    <t>2022</t>
  </si>
  <si>
    <t>Assets</t>
  </si>
  <si>
    <t>Shareholders' equity</t>
  </si>
  <si>
    <t>Accumulated other comprehensive loss (note 27)</t>
  </si>
  <si>
    <t>(359) $</t>
  </si>
  <si>
    <t>Operations</t>
  </si>
  <si>
    <t>Business acquisitions, net of cash and cash equivalents acquired</t>
  </si>
  <si>
    <t>Net earnings before policyholder dividend</t>
  </si>
  <si>
    <t>Policyholder dividends</t>
  </si>
  <si>
    <t>Net earnings – participating account</t>
  </si>
  <si>
    <t>Total net premiums</t>
  </si>
  <si>
    <t>Net policyholder benefits, dividends and experience refunds</t>
  </si>
  <si>
    <t>Income</t>
  </si>
  <si>
    <t>Premium income</t>
  </si>
  <si>
    <t>Gross premiums written</t>
  </si>
  <si>
    <t>Ceded premiums</t>
  </si>
  <si>
    <t>Net investment income (note 6)</t>
  </si>
  <si>
    <t>Regular net investment income</t>
  </si>
  <si>
    <t>Total net investment income (loss)</t>
  </si>
  <si>
    <t>Benefits and expenses</t>
  </si>
  <si>
    <t>Policyholder benefits</t>
  </si>
  <si>
    <t>Gross</t>
  </si>
  <si>
    <t>Ceded</t>
  </si>
  <si>
    <t>Total net policyholder benefits</t>
  </si>
  <si>
    <t>Changes in insurance and investment contract liabilities</t>
  </si>
  <si>
    <t>Total net changes in insurance and investment contract liabilities</t>
  </si>
  <si>
    <t>Policyholder dividends and experience refunds</t>
  </si>
  <si>
    <t>Total paid or credited to policyholders</t>
  </si>
  <si>
    <t>Commissions</t>
  </si>
  <si>
    <t>Operating and administrative expenses (note 27)</t>
  </si>
  <si>
    <t>Premium taxes</t>
  </si>
  <si>
    <t>Financing charges (note 16)</t>
  </si>
  <si>
    <t>Amortization of finite life intangible assets (note 10)</t>
  </si>
  <si>
    <t>Income taxes (note 26)</t>
  </si>
  <si>
    <t>Attributable to non-controlling interests (note 19)</t>
  </si>
  <si>
    <t>Net earnings – participating account (note 18)</t>
  </si>
  <si>
    <t>Net earnings – common shareholder</t>
  </si>
  <si>
    <t>Loans to policyholders</t>
  </si>
  <si>
    <t>Funds held by ceding insurers (note 7)</t>
  </si>
  <si>
    <t>Reinsurance assets (note 13)</t>
  </si>
  <si>
    <t>Goodwill (note 10)</t>
  </si>
  <si>
    <t>Intangible assets (note 10)</t>
  </si>
  <si>
    <t>Derivative financial instruments (note 28)</t>
  </si>
  <si>
    <t>Owner occupied properties (note 11)</t>
  </si>
  <si>
    <t>Fixed assets (note 11)</t>
  </si>
  <si>
    <t>Other assets (note 12)</t>
  </si>
  <si>
    <t>Premiums in course of collection, accounts and interest receivable</t>
  </si>
  <si>
    <t>Deferred tax assets (note 26)</t>
  </si>
  <si>
    <t>Investments on account of segregated fund policyholders (note 14)</t>
  </si>
  <si>
    <t>Insurance contract liabilities (note 13)</t>
  </si>
  <si>
    <t>Investment contract liabilities (note 13)</t>
  </si>
  <si>
    <t>Debentures and other debt instruments (note 15)</t>
  </si>
  <si>
    <t>Preferred shares (note 20)</t>
  </si>
  <si>
    <t>Funds held under reinsurance contracts</t>
  </si>
  <si>
    <t>Other liabilities (note 17)</t>
  </si>
  <si>
    <t>Deferred tax liabilities (note 26)</t>
  </si>
  <si>
    <t>Investment and insurance contracts on account of segregated fund policyholders (note 14)</t>
  </si>
  <si>
    <t>Participating account surplus (note 18)</t>
  </si>
  <si>
    <t>Non-controlling interests (note 19)</t>
  </si>
  <si>
    <t>Share capital (note 20)</t>
  </si>
  <si>
    <t>Common shares</t>
  </si>
  <si>
    <t>Accumulated other comprehensive loss (note 24)</t>
  </si>
  <si>
    <t>Balance, beginning of year</t>
  </si>
  <si>
    <t>Balance, end of year</t>
  </si>
  <si>
    <t>Change in insurance and investment contract liabilities</t>
  </si>
  <si>
    <t>Change in funds held by ceding insurers</t>
  </si>
  <si>
    <t>Change in funds held under reinsurance contracts</t>
  </si>
  <si>
    <t>Change in reinsurance assets</t>
  </si>
  <si>
    <t>Bond sales and maturities</t>
  </si>
  <si>
    <t>Mortgage loan repayments</t>
  </si>
  <si>
    <t>Stock sales</t>
  </si>
  <si>
    <t>Investment property sales</t>
  </si>
  <si>
    <t>Change in loans to policyholders</t>
  </si>
  <si>
    <t>Business acquisitions, net of cash and cash equivalents acquired (note 3)</t>
  </si>
  <si>
    <t>Investment in bonds</t>
  </si>
  <si>
    <t>Investment in mortgage loans</t>
  </si>
  <si>
    <t>Investment in stocks</t>
  </si>
  <si>
    <t>Investment in investment properties</t>
  </si>
  <si>
    <t>2025</t>
  </si>
  <si>
    <t>2024</t>
  </si>
  <si>
    <t>Financial Highlights (Unaudited) (in Canadian $ Million)</t>
  </si>
  <si>
    <t>Consolidated Statements Of Earnings (in Canadian $ Million)</t>
  </si>
  <si>
    <t>Consolidated Balance Sheet  (in Canadian $ Million)</t>
  </si>
  <si>
    <t>Consolidated Statements of Change in Equity</t>
  </si>
  <si>
    <t>Net Earnings</t>
  </si>
  <si>
    <t>Other comprehensive income (loss)</t>
  </si>
  <si>
    <t>Dividends to common shareholder</t>
  </si>
  <si>
    <t>Share-based payments (note 25)</t>
  </si>
  <si>
    <t>Derecognition of non-controlling interest in subsidary</t>
  </si>
  <si>
    <t>Share Capital</t>
  </si>
  <si>
    <t>Contributed Surplus</t>
  </si>
  <si>
    <t>Accumulated Surplus</t>
  </si>
  <si>
    <t>Accumulated Other Comprehensive Income</t>
  </si>
  <si>
    <t>Total Shareholder's Equity</t>
  </si>
  <si>
    <t>Non-controlling Interest</t>
  </si>
  <si>
    <t>Participating Account Surplus</t>
  </si>
  <si>
    <t>Total Equity</t>
  </si>
  <si>
    <t>Consolidated Statements of Cash Flow</t>
  </si>
  <si>
    <t>Total assets under management or advisement</t>
  </si>
  <si>
    <t>Total assets under administration</t>
  </si>
  <si>
    <t>LICAT Ratio</t>
  </si>
  <si>
    <t>Financial Highlights (in Canadian $ millions)</t>
  </si>
  <si>
    <t>Consolidated Balance Sheet  (in Canadian $ millions)</t>
  </si>
  <si>
    <t>Net earnings (loss)</t>
  </si>
  <si>
    <t>Other comprehensive income</t>
  </si>
  <si>
    <t>Derecognition of non-controlling interest in subsidiary</t>
  </si>
  <si>
    <t>Consolidated Statements of Changes in Equity  (in Canadian $ millions)</t>
  </si>
  <si>
    <t>Consolidated Statements of Cash Flow  (in Canadian $ millions)</t>
  </si>
  <si>
    <t>Financial Highlights (unaudited) (in Canadian $ millions)</t>
  </si>
  <si>
    <t>Consolidated Statements of Earnings (in Canadian $ millions)</t>
  </si>
  <si>
    <t>Consolidated Balance Sheets (in Canadian $ millions)</t>
  </si>
  <si>
    <t>2021</t>
  </si>
  <si>
    <t>Consolidated Statements of Changes in Equity (in Canadian $ millions)</t>
  </si>
  <si>
    <t>Balance, beginning of year (restated)</t>
  </si>
  <si>
    <t>Impact of initial application of IFRS 9 (note 3)</t>
  </si>
  <si>
    <t>Revised balance, beginning of year</t>
  </si>
  <si>
    <t>Issue of common shares to parent company (note 23)</t>
  </si>
  <si>
    <t>Acquisition of non-controlling interest in subsidiary</t>
  </si>
  <si>
    <t>Accumulated other comprehensive income (loss)</t>
  </si>
  <si>
    <t>Total shareholders' equity</t>
  </si>
  <si>
    <t>Consolidated Statements of Cash Flows (in Canadian $ millions)</t>
  </si>
  <si>
    <t>Total shareholder's equity</t>
  </si>
  <si>
    <t>Total premiums and deposits</t>
  </si>
  <si>
    <t>Proprietary mutual funds and institutional assets</t>
  </si>
  <si>
    <t>Other assets under administration</t>
  </si>
  <si>
    <t>Book value per common share</t>
  </si>
  <si>
    <t>Summary of net earnings attribute to:</t>
  </si>
  <si>
    <t>Financial Highlight (unaudited)  (in Canadian $ millions)</t>
  </si>
  <si>
    <t>Consolidated Statements of Earnings  (in Canadian $ millions)</t>
  </si>
  <si>
    <t>Consolidated Balance Sheets</t>
  </si>
  <si>
    <t>Consolidated Statements of Changes in Equity</t>
  </si>
  <si>
    <t>Disposal of investment in subsidiary</t>
  </si>
  <si>
    <t>Recognition of non-controlling interest</t>
  </si>
  <si>
    <t>Share-based payments (note 22)</t>
  </si>
  <si>
    <t>Accumulated other comprehensive loss comprehensive loss</t>
  </si>
  <si>
    <t>Total shareholders’ equity</t>
  </si>
  <si>
    <t>Insurance revenue</t>
  </si>
  <si>
    <t>Financial item (CAD $ millions)</t>
  </si>
  <si>
    <t>Insurance service expenses</t>
  </si>
  <si>
    <t>Operating and administrative expenses</t>
  </si>
  <si>
    <t>Cash and cash equivalents</t>
  </si>
  <si>
    <t>Debentures and other debt instruments</t>
  </si>
  <si>
    <t>Operating 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</si>
</sst>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7" x14ac:knownFonts="1">
    <font>
      <sz val="11"/>
      <color theme="1"/>
      <name val="Aptos Narrow"/>
      <family val="2"/>
      <scheme val="minor"/>
    </font>
    <font>
      <b/>
      <sz val="11"/>
      <color theme="1"/>
      <name val="Aptos Narrow"/>
      <family val="2"/>
      <scheme val="minor"/>
    </font>
    <font>
      <sz val="9"/>
      <color indexed="81"/>
      <name val="Tahoma"/>
      <charset val="1"/>
    </font>
    <font>
      <sz val="11"/>
      <color theme="1"/>
      <name val="Aptos Narrow"/>
      <family val="2"/>
      <scheme val="minor"/>
    </font>
    <font>
      <b/>
      <sz val="9"/>
      <color indexed="81"/>
      <name val="Tahoma"/>
      <charset val="1"/>
    </font>
    <font>
      <b/>
      <sz val="9"/>
      <color indexed="81"/>
      <name val="Tahoma"/>
      <family val="2"/>
    </font>
    <font>
      <sz val="9"/>
      <color indexed="81"/>
      <name val="Tahoma"/>
      <family val="2"/>
    </font>
  </fonts>
  <fills count="2">
    <fill>
      <patternFill patternType="none"/>
    </fill>
    <fill>
      <patternFill patternType="gray125"/>
    </fill>
  </fills>
  <borders count="5">
    <border>
      <left/>
      <right/>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164" fontId="0" fillId="0" borderId="0" xfId="0" applyNumberFormat="1"/>
    <xf numFmtId="0" fontId="1" fillId="0" borderId="0" xfId="0" applyFont="1"/>
    <xf numFmtId="3" fontId="0" fillId="0" borderId="0" xfId="0" applyNumberFormat="1" applyAlignment="1">
      <alignment horizontal="right"/>
    </xf>
    <xf numFmtId="0" fontId="0" fillId="0" borderId="0" xfId="0" applyAlignment="1">
      <alignment horizontal="right"/>
    </xf>
    <xf numFmtId="0" fontId="0" fillId="0" borderId="1" xfId="0" applyBorder="1"/>
    <xf numFmtId="0" fontId="0" fillId="0" borderId="2" xfId="0" applyBorder="1"/>
    <xf numFmtId="0" fontId="0" fillId="0" borderId="1" xfId="0" applyBorder="1" applyAlignment="1">
      <alignment horizontal="right"/>
    </xf>
    <xf numFmtId="3" fontId="0" fillId="0" borderId="3" xfId="0" applyNumberFormat="1" applyBorder="1" applyAlignment="1">
      <alignment horizontal="right"/>
    </xf>
    <xf numFmtId="0" fontId="0" fillId="0" borderId="3" xfId="0" applyBorder="1" applyAlignment="1">
      <alignment horizontal="right"/>
    </xf>
    <xf numFmtId="164" fontId="0" fillId="0" borderId="1" xfId="0" applyNumberFormat="1" applyBorder="1"/>
    <xf numFmtId="164" fontId="0" fillId="0" borderId="3" xfId="0" applyNumberFormat="1" applyBorder="1"/>
    <xf numFmtId="164" fontId="0" fillId="0" borderId="4" xfId="0" applyNumberFormat="1" applyBorder="1"/>
    <xf numFmtId="9" fontId="0" fillId="0" borderId="0" xfId="0" applyNumberFormat="1"/>
    <xf numFmtId="0" fontId="1" fillId="0" borderId="1" xfId="0" applyFont="1" applyBorder="1"/>
    <xf numFmtId="164" fontId="0" fillId="0" borderId="0" xfId="0" applyNumberFormat="1" applyAlignment="1">
      <alignment horizontal="right"/>
    </xf>
    <xf numFmtId="164" fontId="0" fillId="0" borderId="1" xfId="0" applyNumberFormat="1" applyBorder="1" applyAlignment="1">
      <alignment horizontal="right"/>
    </xf>
    <xf numFmtId="164" fontId="0" fillId="0" borderId="3" xfId="0" applyNumberFormat="1" applyBorder="1" applyAlignment="1">
      <alignment horizontal="right"/>
    </xf>
    <xf numFmtId="0" fontId="0" fillId="0" borderId="3" xfId="0" applyBorder="1"/>
    <xf numFmtId="0" fontId="0" fillId="0" borderId="0" xfId="0" applyNumberFormat="1"/>
    <xf numFmtId="10" fontId="0" fillId="0" borderId="0" xfId="0" applyNumberFormat="1"/>
    <xf numFmtId="0" fontId="1" fillId="0" borderId="0" xfId="0" applyNumberFormat="1" applyFont="1"/>
    <xf numFmtId="164" fontId="0" fillId="0" borderId="0" xfId="0" applyNumberFormat="1" applyBorder="1"/>
    <xf numFmtId="0" fontId="1" fillId="0" borderId="0" xfId="0" applyNumberFormat="1" applyFont="1" applyBorder="1"/>
    <xf numFmtId="9" fontId="0" fillId="0" borderId="0" xfId="1" applyFont="1"/>
  </cellXfs>
  <cellStyles count="2">
    <cellStyle name="Normal" xfId="0" builtinId="0"/>
    <cellStyle name="Percent" xfId="1" builtinId="5"/>
  </cellStyles>
  <dxfs count="75">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164" formatCode="&quot;$&quot;#,##0"/>
    </dxf>
    <dxf>
      <numFmt numFmtId="0" formatCode="General"/>
    </dxf>
    <dxf>
      <numFmt numFmtId="0" formatCode="General"/>
    </dxf>
    <dxf>
      <numFmt numFmtId="0" formatCode="General"/>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164" formatCode="&quot;$&quot;#,##0"/>
      <alignment horizontal="right" vertical="bottom" textRotation="0" wrapText="0" indent="0" justifyLastLine="0" shrinkToFit="0" readingOrder="0"/>
    </dxf>
    <dxf>
      <numFmt numFmtId="0" formatCode="General"/>
    </dxf>
    <dxf>
      <numFmt numFmtId="0" formatCode="General"/>
    </dxf>
    <dxf>
      <numFmt numFmtId="164" formatCode="&quot;$&quot;#,##0"/>
    </dxf>
    <dxf>
      <numFmt numFmtId="164" formatCode="&quot;$&quot;#,##0"/>
    </dxf>
    <dxf>
      <numFmt numFmtId="0" formatCode="General"/>
    </dxf>
    <dxf>
      <numFmt numFmtId="0" formatCode="General"/>
    </dxf>
    <dxf>
      <numFmt numFmtId="0" formatCode="General"/>
    </dxf>
    <dxf>
      <numFmt numFmtId="0" formatCode="General"/>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C6B56A-ED7A-4BC5-86FB-BC86DC51FC56}" name="CL2025_Financial_Highlights" displayName="CL2025_Financial_Highlights" ref="A2:C21" totalsRowShown="0">
  <autoFilter ref="A2:C21" xr:uid="{32C6B56A-ED7A-4BC5-86FB-BC86DC51FC56}"/>
  <tableColumns count="3">
    <tableColumn id="1" xr3:uid="{5C2C5EAF-8FD7-4548-B79E-158A94C36CEC}" name="Financial Highlights (Unaudited) (in Canadian $ Million)" dataDxfId="74"/>
    <tableColumn id="4" xr3:uid="{F845F529-FD47-4771-A575-3ECAFBD90817}" name="2025" dataDxfId="73"/>
    <tableColumn id="6" xr3:uid="{2D1DF53C-C68C-4325-9449-0D2B4F3F7A6D}" name="2024" dataDxfId="7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C03A14-B5FE-4A4C-A2DD-6F7C99CBB8B6}" name="CL2025_Consolidated_Statements_Of_Earnings" displayName="CL2025_Consolidated_Statements_Of_Earnings" ref="A24:C54" totalsRowShown="0">
  <autoFilter ref="A24:C54" xr:uid="{34C03A14-B5FE-4A4C-A2DD-6F7C99CBB8B6}"/>
  <tableColumns count="3">
    <tableColumn id="1" xr3:uid="{AF140A9C-2544-462A-8D05-83FCA92FCC29}" name="Consolidated Statements Of Earnings (in Canadian $ Million)" dataDxfId="71"/>
    <tableColumn id="3" xr3:uid="{16B7134F-532D-42E5-B2C1-83A349FA9ED6}" name="2025" dataDxfId="70"/>
    <tableColumn id="5" xr3:uid="{A04CC424-6000-4365-8CE5-358C2FA21877}" name="2024" dataDxfId="6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BD7B52-E650-435A-863F-F68E89A607E8}" name="CL2025_Consolidated_Balance_Sheet" displayName="CL2025_Consolidated_Balance_Sheet" ref="A58:C106" totalsRowShown="0">
  <autoFilter ref="A58:C106" xr:uid="{FABD7B52-E650-435A-863F-F68E89A607E8}"/>
  <tableColumns count="3">
    <tableColumn id="1" xr3:uid="{D6729C5B-6996-4AD6-921A-4FCB66DC5B45}" name="Consolidated Balance Sheet  (in Canadian $ Million)" dataDxfId="68"/>
    <tableColumn id="3" xr3:uid="{1B220B5B-DEB0-4054-AD07-3C5B3F8AACD1}" name="2025" dataDxfId="67"/>
    <tableColumn id="5" xr3:uid="{E50E6906-CAA9-42F6-9EB9-A1F697BB2F20}" name="20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654234-2B8F-4830-BE0E-554991835BD9}" name="CL2025_Consolidated_Statements_Of_Change_In_Equity" displayName="CL2025_Consolidated_Statements_Of_Change_In_Equity" ref="A109:I117" totalsRowShown="0">
  <autoFilter ref="A109:I117" xr:uid="{CF654234-2B8F-4830-BE0E-554991835BD9}"/>
  <tableColumns count="9">
    <tableColumn id="1" xr3:uid="{C372BC7B-EDAA-425F-B029-CC348E8759F1}" name="Consolidated Statements of Change in Equity" dataDxfId="66"/>
    <tableColumn id="2" xr3:uid="{87A431C1-44DD-4CAE-8CF0-67ED9C3536FA}" name="Share Capital" dataDxfId="65"/>
    <tableColumn id="4" xr3:uid="{1ACAEC2D-550E-4F1E-899C-D23FDA3C7A2F}" name="Contributed Surplus" dataDxfId="64"/>
    <tableColumn id="6" xr3:uid="{DA9BD253-8ABA-4C4C-90D8-B886FCF7BB0C}" name="Accumulated Surplus" dataDxfId="63"/>
    <tableColumn id="8" xr3:uid="{35415082-274B-4DFF-B6E0-53920A2A9F6D}" name="Accumulated Other Comprehensive Income" dataDxfId="62"/>
    <tableColumn id="10" xr3:uid="{2F102C70-C964-49EB-A16F-A1842CC2B96F}" name="Total Shareholder's Equity" dataDxfId="61"/>
    <tableColumn id="12" xr3:uid="{ECFC45BF-2FD7-4257-A71D-CD62160491EA}" name="Non-controlling Interest" dataDxfId="60"/>
    <tableColumn id="14" xr3:uid="{E959836E-9965-4D14-BCC3-3BCC273F49C9}" name="Participating Account Surplus" dataDxfId="59"/>
    <tableColumn id="16" xr3:uid="{C57C220A-153E-480B-8F20-BD9766EBCC5D}" name="Total Equity" dataDxfId="5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AC487E-DBF0-4C56-AF4F-056F3601ED72}" name="CL2025_Consolidated_Statements_Of_Cash_Flow" displayName="CL2025_Consolidated_Statements_Of_Cash_Flow" ref="A121:C149" totalsRowShown="0">
  <autoFilter ref="A121:C149" xr:uid="{3AAC487E-DBF0-4C56-AF4F-056F3601ED72}"/>
  <tableColumns count="3">
    <tableColumn id="1" xr3:uid="{2F45C01F-02D6-4CB5-9364-F722A27B3859}" name="Consolidated Statements of Cash Flow" dataDxfId="57"/>
    <tableColumn id="3" xr3:uid="{712741C7-204F-4298-8050-873B208D5060}" name="2025"/>
    <tableColumn id="5" xr3:uid="{2534FEF1-3F52-460C-AB74-977F2325376E}" name="202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0062148-2C94-44FA-AA84-D3AF2950CAE1}" name="CL2024_Financial_Highlights" displayName="CL2024_Financial_Highlights" ref="A2:C21" totalsRowShown="0">
  <autoFilter ref="A2:C21" xr:uid="{80062148-2C94-44FA-AA84-D3AF2950CAE1}"/>
  <tableColumns count="3">
    <tableColumn id="1" xr3:uid="{A504AF7D-4077-4F75-AD8E-F00D66A4E1EB}" name="Financial Highlights (in Canadian $ millions)" dataDxfId="56"/>
    <tableColumn id="5" xr3:uid="{6DE21333-8B6D-493E-A3FB-12219341B858}" name="2024" dataDxfId="55"/>
    <tableColumn id="7" xr3:uid="{1D1F864D-619C-4D8B-BDCB-F9F994AD3F85}" name="202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2E5B2C2-C7D4-4C68-B8DF-B451C6AD2FA5}" name="CL2024_Consolidated_Statement_Of_Earnings" displayName="CL2024_Consolidated_Statement_Of_Earnings" ref="A24:C54" totalsRowShown="0">
  <autoFilter ref="A24:C54" xr:uid="{F2E5B2C2-C7D4-4C68-B8DF-B451C6AD2FA5}"/>
  <tableColumns count="3">
    <tableColumn id="1" xr3:uid="{B00DF7C4-46F0-426A-99DA-8CD1485C8167}" name="Consolidated Statements of Earnings (in Canadian $ millions)" dataDxfId="54"/>
    <tableColumn id="3" xr3:uid="{6DBC8D88-3782-41F5-8C7F-4912F53C3845}" name="2024" dataDxfId="53"/>
    <tableColumn id="5" xr3:uid="{0DA8B320-B9A4-43AB-B84E-C184D12EEBCE}" name="2023" dataDxfId="5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9288B11-3956-44BF-B015-CDD67BF6122B}" name="CL2024_Consolidated_Balance_Sheet" displayName="CL2024_Consolidated_Balance_Sheet" ref="A57:C104" totalsRowShown="0">
  <autoFilter ref="A57:C104" xr:uid="{09288B11-3956-44BF-B015-CDD67BF6122B}"/>
  <tableColumns count="3">
    <tableColumn id="1" xr3:uid="{9A2A315A-17C4-44C5-839B-27077EDAFBE8}" name="Consolidated Balance Sheet  (in Canadian $ millions)" dataDxfId="51"/>
    <tableColumn id="3" xr3:uid="{AC35110F-0BC5-4C19-B333-64D500DD652D}" name="2024"/>
    <tableColumn id="5" xr3:uid="{FC18CAD8-EF52-4B84-B287-4440BF8988D1}" name="202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5B36E1D-5C8B-415A-8BB2-72AC852DFE1F}" name="CL2024_Consolidated_Statements_Of_Changes_In_Equity" displayName="CL2024_Consolidated_Statements_Of_Changes_In_Equity" ref="A107:I115" totalsRowShown="0">
  <autoFilter ref="A107:I115" xr:uid="{95B36E1D-5C8B-415A-8BB2-72AC852DFE1F}"/>
  <tableColumns count="9">
    <tableColumn id="1" xr3:uid="{346EBBBA-D3E8-43C4-B112-84CFBA884811}" name="Consolidated Statements of Changes in Equity  (in Canadian $ millions)" dataDxfId="50"/>
    <tableColumn id="2" xr3:uid="{A3F2222E-550B-4C91-822F-4D93B86D0518}" name="Share capital" dataDxfId="49"/>
    <tableColumn id="4" xr3:uid="{5DE7CF1E-A17D-4E32-B7FB-FD3FCA7A27C6}" name="Contributed surplus" dataDxfId="48"/>
    <tableColumn id="6" xr3:uid="{7CD3F9B9-2C9F-423A-9B10-5566ED617B23}" name="Accumulated surplus" dataDxfId="47"/>
    <tableColumn id="8" xr3:uid="{81A55F20-6E2D-49CB-A777-7EA2FA186E54}" name="Accumulated other comprehensive income (loss)" dataDxfId="46"/>
    <tableColumn id="10" xr3:uid="{436743AE-2B63-4A1B-B86F-48A200522D06}" name="Total shareholder's equity" dataDxfId="45"/>
    <tableColumn id="12" xr3:uid="{185E9850-C6B0-4386-B196-713B0971812A}" name="Non-controlling interests" dataDxfId="44"/>
    <tableColumn id="14" xr3:uid="{F07A79B8-D988-4A89-BC52-58700AEF495C}" name="Participating account surplus" dataDxfId="43"/>
    <tableColumn id="16" xr3:uid="{DAC2842E-0699-4DFF-A5A2-CA0460B0936F}" name="Total equity" dataDxfId="4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72B3C60-F251-4571-AC34-BA109A0E39B4}" name="CL2024_Consolidated_Statements_Of_Cash_Flow" displayName="CL2024_Consolidated_Statements_Of_Cash_Flow" ref="A118:C147" totalsRowShown="0">
  <autoFilter ref="A118:C147" xr:uid="{872B3C60-F251-4571-AC34-BA109A0E39B4}"/>
  <tableColumns count="3">
    <tableColumn id="1" xr3:uid="{03DD1A9C-855C-4E1B-BC85-F1DA52E562A1}" name="Consolidated Statements of Cash Flow  (in Canadian $ millions)" dataDxfId="41"/>
    <tableColumn id="3" xr3:uid="{9F529541-D5F9-4E8A-9852-77076A9252D7}" name="2024" dataDxfId="40"/>
    <tableColumn id="5" xr3:uid="{D60C0FDC-FC22-4E62-9467-CDCB0E581960}" name="202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CA25C1-C846-4A7B-A2BF-C9448B60FB0D}" name="CL2023_Financial_Highlights" displayName="CL2023_Financial_Highlights" ref="A2:C21" totalsRowShown="0">
  <autoFilter ref="A2:C21" xr:uid="{AECA25C1-C846-4A7B-A2BF-C9448B60FB0D}"/>
  <tableColumns count="3">
    <tableColumn id="1" xr3:uid="{2FBD130F-2F76-40A4-8A35-F73D197CF679}" name="Financial Highlights (unaudited) (in Canadian $ millions)" dataDxfId="39"/>
    <tableColumn id="4" xr3:uid="{EB1CCD9F-222B-42FF-A665-B40808CDFA23}" name="2023" dataDxfId="38"/>
    <tableColumn id="6" xr3:uid="{606BD4DE-1AB4-4377-AD4C-304EEE364AE0}" name="2022" dataDxfId="3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03F03B7-0B2F-429E-9099-05D4B79628EE}" name="CL2023_Consolidated_Statements_Of_Earnings" displayName="CL2023_Consolidated_Statements_Of_Earnings" ref="A23:C54" totalsRowShown="0">
  <autoFilter ref="A23:C54" xr:uid="{403F03B7-0B2F-429E-9099-05D4B79628EE}"/>
  <tableColumns count="3">
    <tableColumn id="1" xr3:uid="{348E9B7F-8015-4CEA-9CB7-F5A11E794924}" name="Consolidated Statements of Earnings (in Canadian $ millions)" dataDxfId="36"/>
    <tableColumn id="3" xr3:uid="{9CB5D784-9668-43E2-912F-CCC0C5A46AFC}" name="2023" dataDxfId="35"/>
    <tableColumn id="5" xr3:uid="{7DFA6E59-95B4-4F39-8D95-F85AC0C103B7}" name="2022" dataDxfId="3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8294548-29F4-4247-8D91-46256870F255}" name="CL2023_Consolidated_Balance_Sheets" displayName="CL2023_Consolidated_Balance_Sheets" ref="A57:D105" totalsRowShown="0">
  <autoFilter ref="A57:D105" xr:uid="{C8294548-29F4-4247-8D91-46256870F255}"/>
  <tableColumns count="4">
    <tableColumn id="1" xr3:uid="{A77F868F-A01A-4E28-831C-123758FFEE1B}" name="Consolidated Balance Sheets (in Canadian $ millions)" dataDxfId="33"/>
    <tableColumn id="3" xr3:uid="{BF1169F7-EA41-4E34-B1BE-468D058EC001}" name="2023" dataDxfId="32"/>
    <tableColumn id="5" xr3:uid="{0DED70B6-5DBC-4722-9AEA-0F35DB477359}" name="2022" dataDxfId="31"/>
    <tableColumn id="7" xr3:uid="{391AF299-CDE1-44A4-94F3-25223ECFCF43}" name="2021" dataDxfId="30"/>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10BDDA1-0210-42C8-BA1E-98C8F4E39148}" name="CL2023_Consolidated_Statements_Of_Changes_In_Equity" displayName="CL2023_Consolidated_Statements_Of_Changes_In_Equity" ref="A108:I119" totalsRowShown="0">
  <autoFilter ref="A108:I119" xr:uid="{010BDDA1-0210-42C8-BA1E-98C8F4E39148}"/>
  <tableColumns count="9">
    <tableColumn id="1" xr3:uid="{12AD67BC-57B1-41C3-A7A2-ECD190ADFB8A}" name="Consolidated Statements of Changes in Equity (in Canadian $ millions)" dataDxfId="29"/>
    <tableColumn id="2" xr3:uid="{D69CD2BD-7405-43A8-B2F6-D33B29AE7319}" name="Share capital" dataDxfId="28"/>
    <tableColumn id="4" xr3:uid="{D7419A9F-70E7-4602-A940-77D76211462A}" name="Contributed surplus" dataDxfId="27"/>
    <tableColumn id="6" xr3:uid="{6F1EC460-0E36-4BAA-BD61-804EA1A7B604}" name="Accumulated surplus" dataDxfId="26"/>
    <tableColumn id="8" xr3:uid="{ECC52595-0035-4144-8E9B-C830D055A87F}" name="Accumulated other comprehensive income (loss)" dataDxfId="25"/>
    <tableColumn id="9" xr3:uid="{DD90BFCF-0719-4732-B663-A0F6DDCBB014}" name="Total shareholders' equity" dataDxfId="24"/>
    <tableColumn id="11" xr3:uid="{45A80F18-CA21-485E-9774-7188CBDBD23A}" name="Non-controlling interests" dataDxfId="23"/>
    <tableColumn id="13" xr3:uid="{5EFFD87C-8A6F-4E32-BC35-2981FB121A78}" name="Participating account surplus" dataDxfId="22"/>
    <tableColumn id="15" xr3:uid="{E2F54086-E050-49D8-8244-5234819E6F63}" name="Total equity" dataDxfId="21"/>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70ABDE2-BBC3-4908-AB0F-44D6EF66AED5}" name="CL2023_Consolidated_Statements_Of_Cash_Flows" displayName="CL2023_Consolidated_Statements_Of_Cash_Flows" ref="A122:C152" totalsRowShown="0">
  <autoFilter ref="A122:C152" xr:uid="{070ABDE2-BBC3-4908-AB0F-44D6EF66AED5}"/>
  <tableColumns count="3">
    <tableColumn id="1" xr3:uid="{7B75C2BC-A013-41C7-861B-9EDA9E0AE1BA}" name="Consolidated Statements of Cash Flows (in Canadian $ millions)" dataDxfId="20"/>
    <tableColumn id="5" xr3:uid="{D08EF108-C608-416D-A0FA-78700D08B198}" name="2023"/>
    <tableColumn id="7" xr3:uid="{0A748248-90C6-42D4-A30D-90D2E6522606}" name="2022"/>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A35DAB2-1EB1-4099-B43A-7BBB210BD1B2}" name="CL2022_Financial_Highlight" displayName="CL2022_Financial_Highlight" ref="A2:C26" totalsRowShown="0">
  <autoFilter ref="A2:C26" xr:uid="{DA35DAB2-1EB1-4099-B43A-7BBB210BD1B2}"/>
  <tableColumns count="3">
    <tableColumn id="1" xr3:uid="{742648AB-0CC3-4711-89DE-BEA31617073E}" name="Financial Highlight (unaudited)  (in Canadian $ millions)" dataDxfId="19"/>
    <tableColumn id="4" xr3:uid="{8EFD586F-8504-433C-ACA7-A80E443245D8}" name="2022"/>
    <tableColumn id="6" xr3:uid="{F3762B59-FF64-4412-994B-4F79CC8C4273}" name="2021"/>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352CFDF-76E1-4D3C-8C7B-7F57348B216F}" name="CL2022_Consolidated_Statements_Of_Earnings" displayName="CL2022_Consolidated_Statements_Of_Earnings" ref="A29:C63" totalsRowShown="0">
  <autoFilter ref="A29:C63" xr:uid="{D352CFDF-76E1-4D3C-8C7B-7F57348B216F}"/>
  <tableColumns count="3">
    <tableColumn id="1" xr3:uid="{E02CB553-D5D4-402A-8C54-8DE755972EFF}" name="Consolidated Statements of Earnings  (in Canadian $ millions)" dataDxfId="18"/>
    <tableColumn id="4" xr3:uid="{63FC9382-AFA6-415E-82F8-8CF40DE991D2}" name="2022" dataDxfId="17"/>
    <tableColumn id="6" xr3:uid="{75F17EC1-69D4-4F5D-8315-089CA34D666C}" name="2021"/>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B04493A-D9FF-4D74-A5D0-111BD2A4656C}" name="CL2022_Consolidated_Balance_Sheets" displayName="CL2022_Consolidated_Balance_Sheets" ref="A66:C112" totalsRowShown="0">
  <autoFilter ref="A66:C112" xr:uid="{BB04493A-D9FF-4D74-A5D0-111BD2A4656C}"/>
  <tableColumns count="3">
    <tableColumn id="1" xr3:uid="{893DB4C7-64EE-4ADA-8217-9192AD5B689E}" name="Consolidated Balance Sheets" dataDxfId="16"/>
    <tableColumn id="4" xr3:uid="{DFF048A5-755F-448B-87C0-4E919F682AF0}" name="2022"/>
    <tableColumn id="6" xr3:uid="{5DD01DB6-24AF-4D26-80A0-169FFD04A979}" name="2021"/>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15DB435-83EB-4E91-B08B-67EC402A3AFF}" name="CL2022_Consolidated_Statements_Of_Changes_In_Equity" displayName="CL2022_Consolidated_Statements_Of_Changes_In_Equity" ref="A115:I124" totalsRowShown="0">
  <autoFilter ref="A115:I124" xr:uid="{215DB435-83EB-4E91-B08B-67EC402A3AFF}"/>
  <tableColumns count="9">
    <tableColumn id="1" xr3:uid="{09504AB0-770E-4D43-ACD1-DE5F040CED87}" name="Consolidated Statements of Changes in Equity" dataDxfId="15"/>
    <tableColumn id="3" xr3:uid="{BFA1FFA7-6E3B-4F23-85D7-277A408FB401}" name="Share capital" dataDxfId="14"/>
    <tableColumn id="5" xr3:uid="{701F6E9A-D8E6-4794-950B-B6C0DCDFFB6C}" name="Contributed surplus" dataDxfId="13"/>
    <tableColumn id="7" xr3:uid="{C6BCA9CA-AA5E-4ECD-A8ED-3425059521DC}" name="Accumulated surplus" dataDxfId="12"/>
    <tableColumn id="9" xr3:uid="{C387DAE6-44DC-4C88-B247-97FF4BBC177F}" name="Accumulated other comprehensive loss comprehensive loss" dataDxfId="11"/>
    <tableColumn id="11" xr3:uid="{3D9F6865-2163-45E5-9E9F-FE1EFA6E0A4E}" name="Total shareholders’ equity" dataDxfId="10"/>
    <tableColumn id="13" xr3:uid="{A62F3586-FEAD-4757-955C-167BA489C2DA}" name="Non-controlling interests" dataDxfId="9"/>
    <tableColumn id="15" xr3:uid="{5EC6C0BE-4B74-4A04-B001-36C6B2FE1058}" name="Participating account surplus" dataDxfId="8"/>
    <tableColumn id="17" xr3:uid="{63AE17E1-9D3F-402A-8E50-6A25D991559F}" name="Total equity" dataDxfId="7"/>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95EA000-7795-40F0-80C9-309E26D34DB3}" name="CL2022_Consolidated_Statements_Of_Cash_Flows" displayName="CL2022_Consolidated_Statements_Of_Cash_Flows" ref="A127:C161" totalsRowShown="0">
  <autoFilter ref="A127:C161" xr:uid="{395EA000-7795-40F0-80C9-309E26D34DB3}"/>
  <tableColumns count="3">
    <tableColumn id="1" xr3:uid="{D9D5A221-D279-446F-84E7-045892C71C4C}" name="Consolidated Statements of Cash Flows (in Canadian $ millions)" dataDxfId="6"/>
    <tableColumn id="4" xr3:uid="{0B41E5F3-DDED-491F-B3FE-F07FAA1FC2F1}" name="2022" dataDxfId="5"/>
    <tableColumn id="6" xr3:uid="{597E5080-187F-4732-87DD-297275C991F1}" name="2021" dataDxfId="4"/>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B2A73A-1EEC-46AC-91EE-7CD6FB19EA63}" name="CL_Annual_Financial_Item" displayName="CL_Annual_Financial_Item" ref="A1:E17" totalsRowShown="0">
  <autoFilter ref="A1:E17" xr:uid="{62B2A73A-1EEC-46AC-91EE-7CD6FB19EA63}"/>
  <tableColumns count="5">
    <tableColumn id="1" xr3:uid="{C65EBD19-CB55-4FE0-9E64-CCC55F3C53D5}" name="Financial item (CAD $ millions)"/>
    <tableColumn id="2" xr3:uid="{64F0E65D-5B27-41C2-9D64-A1370C90CAE6}" name="2022" dataDxfId="3">
      <calculatedColumnFormula array="1">_xlfn.XLOOKUP(A2,CL2023_Financial_Highlights[[#All],[Financial Highlights (unaudited) (in Canadian $ millions)]],CL2023_Financial_Highlights[[#All],[2022]],"Not Found",0)</calculatedColumnFormula>
    </tableColumn>
    <tableColumn id="3" xr3:uid="{5DB1D296-8814-4B6A-9833-E4A1CCA5D2FA}" name="2023" dataDxfId="2">
      <calculatedColumnFormula array="1">_xlfn.XLOOKUP(A2,CL2023_Financial_Highlights[[#All],[Financial Highlights (unaudited) (in Canadian $ millions)]],CL2023_Financial_Highlights[[#All],[2023]],"Not Found",0)</calculatedColumnFormula>
    </tableColumn>
    <tableColumn id="4" xr3:uid="{59F5E5CB-387A-45BC-B330-F894B4F6DE82}" name="2024" dataDxfId="1">
      <calculatedColumnFormula array="1">_xlfn.XLOOKUP(A2,CL2024_Financial_Highlights[[#All],[Financial Highlights (in Canadian $ millions)]],CL2024_Financial_Highlights[[#All],[2024]],"Not Found",0)</calculatedColumnFormula>
    </tableColumn>
    <tableColumn id="5" xr3:uid="{553985D8-0F6B-4CAB-A4A1-B67873C194FD}" name="2025" dataDxfId="0">
      <calculatedColumnFormula array="1">_xlfn.XLOOKUP(A2,CL2025_Financial_Highlights[[#All],[Financial Highlights (Unaudited) (in Canadian $ Million)]],CL2025_Financial_Highlights[[#All],[2025]],"Not Found",0)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5" Type="http://schemas.openxmlformats.org/officeDocument/2006/relationships/table" Target="../tables/table10.xml"/><Relationship Id="rId4" Type="http://schemas.openxmlformats.org/officeDocument/2006/relationships/table" Target="../tables/table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5" Type="http://schemas.openxmlformats.org/officeDocument/2006/relationships/table" Target="../tables/table15.xml"/><Relationship Id="rId4" Type="http://schemas.openxmlformats.org/officeDocument/2006/relationships/table" Target="../tables/table1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table" Target="../tables/table16.xml"/><Relationship Id="rId5" Type="http://schemas.openxmlformats.org/officeDocument/2006/relationships/table" Target="../tables/table20.xml"/><Relationship Id="rId4" Type="http://schemas.openxmlformats.org/officeDocument/2006/relationships/table" Target="../tables/table19.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5D32-C32B-46D8-AAE3-E026189F450B}">
  <dimension ref="A2:I149"/>
  <sheetViews>
    <sheetView workbookViewId="0">
      <selection activeCell="A15" sqref="A15"/>
    </sheetView>
  </sheetViews>
  <sheetFormatPr defaultRowHeight="14.5" x14ac:dyDescent="0.35"/>
  <cols>
    <col min="1" max="1" width="72.6328125" bestFit="1" customWidth="1"/>
    <col min="2" max="2" width="14.36328125" bestFit="1" customWidth="1"/>
    <col min="3" max="3" width="20.1796875" bestFit="1" customWidth="1"/>
    <col min="4" max="4" width="21.26953125" bestFit="1" customWidth="1"/>
    <col min="5" max="5" width="40.08984375" bestFit="1" customWidth="1"/>
    <col min="6" max="6" width="25" bestFit="1" customWidth="1"/>
    <col min="7" max="7" width="23.08984375" bestFit="1" customWidth="1"/>
    <col min="8" max="8" width="28.26953125" bestFit="1" customWidth="1"/>
    <col min="9" max="9" width="12.81640625" bestFit="1" customWidth="1"/>
    <col min="10" max="16" width="11.7265625" bestFit="1" customWidth="1"/>
  </cols>
  <sheetData>
    <row r="2" spans="1:3" x14ac:dyDescent="0.35">
      <c r="A2" t="s">
        <v>184</v>
      </c>
      <c r="B2" t="s">
        <v>182</v>
      </c>
      <c r="C2" t="s">
        <v>183</v>
      </c>
    </row>
    <row r="3" spans="1:3" x14ac:dyDescent="0.35">
      <c r="A3" s="2" t="s">
        <v>0</v>
      </c>
      <c r="B3" s="1"/>
      <c r="C3" s="1"/>
    </row>
    <row r="4" spans="1:3" x14ac:dyDescent="0.35">
      <c r="A4" t="s">
        <v>1</v>
      </c>
      <c r="B4" s="1">
        <v>42</v>
      </c>
      <c r="C4" s="1">
        <v>107</v>
      </c>
    </row>
    <row r="5" spans="1:3" x14ac:dyDescent="0.35">
      <c r="A5" t="s">
        <v>2</v>
      </c>
      <c r="B5" s="10">
        <v>2724</v>
      </c>
      <c r="C5" s="10">
        <v>3140</v>
      </c>
    </row>
    <row r="6" spans="1:3" x14ac:dyDescent="0.35">
      <c r="A6" s="14" t="s">
        <v>3</v>
      </c>
      <c r="B6" s="10">
        <v>2766</v>
      </c>
      <c r="C6" s="10">
        <v>3247</v>
      </c>
    </row>
    <row r="7" spans="1:3" x14ac:dyDescent="0.35">
      <c r="A7" s="23"/>
      <c r="B7" s="22"/>
      <c r="C7" s="22"/>
    </row>
    <row r="8" spans="1:3" x14ac:dyDescent="0.35">
      <c r="A8" s="2" t="s">
        <v>4</v>
      </c>
      <c r="B8" s="1">
        <v>3450</v>
      </c>
      <c r="C8" s="1">
        <v>3258</v>
      </c>
    </row>
    <row r="9" spans="1:3" x14ac:dyDescent="0.35">
      <c r="A9" s="2" t="s">
        <v>5</v>
      </c>
      <c r="B9" s="1">
        <v>603</v>
      </c>
      <c r="C9" s="1">
        <v>1015</v>
      </c>
    </row>
    <row r="10" spans="1:3" x14ac:dyDescent="0.35">
      <c r="A10" s="14" t="s">
        <v>6</v>
      </c>
      <c r="B10" s="10">
        <v>3016</v>
      </c>
      <c r="C10" s="10">
        <v>2853</v>
      </c>
    </row>
    <row r="11" spans="1:3" x14ac:dyDescent="0.35">
      <c r="A11" s="23"/>
      <c r="B11" s="22"/>
      <c r="C11" s="22"/>
    </row>
    <row r="12" spans="1:3" x14ac:dyDescent="0.35">
      <c r="A12" s="2" t="s">
        <v>7</v>
      </c>
      <c r="B12" s="1">
        <v>505652</v>
      </c>
      <c r="C12" s="1">
        <v>461204</v>
      </c>
    </row>
    <row r="13" spans="1:3" x14ac:dyDescent="0.35">
      <c r="A13" s="2" t="s">
        <v>202</v>
      </c>
      <c r="B13" s="1">
        <v>529301</v>
      </c>
      <c r="C13" s="1">
        <v>469722</v>
      </c>
    </row>
    <row r="14" spans="1:3" x14ac:dyDescent="0.35">
      <c r="A14" s="2" t="s">
        <v>203</v>
      </c>
      <c r="B14" s="1">
        <v>723435</v>
      </c>
      <c r="C14" s="1">
        <v>654853</v>
      </c>
    </row>
    <row r="15" spans="1:3" x14ac:dyDescent="0.35">
      <c r="A15" s="2" t="s">
        <v>8</v>
      </c>
      <c r="B15" s="1">
        <v>13494</v>
      </c>
      <c r="C15" s="1">
        <v>13243</v>
      </c>
    </row>
    <row r="16" spans="1:3" x14ac:dyDescent="0.35">
      <c r="A16" s="21"/>
      <c r="B16" s="1"/>
      <c r="C16" s="1"/>
    </row>
    <row r="17" spans="1:3" x14ac:dyDescent="0.35">
      <c r="A17" t="s">
        <v>9</v>
      </c>
      <c r="B17" s="1">
        <v>3082</v>
      </c>
      <c r="C17" s="1">
        <v>3043</v>
      </c>
    </row>
    <row r="18" spans="1:3" x14ac:dyDescent="0.35">
      <c r="A18" t="s">
        <v>10</v>
      </c>
      <c r="B18" s="1" t="s">
        <v>11</v>
      </c>
      <c r="C18" s="1">
        <v>10</v>
      </c>
    </row>
    <row r="19" spans="1:3" x14ac:dyDescent="0.35">
      <c r="A19" t="s">
        <v>12</v>
      </c>
      <c r="B19" s="1">
        <v>20938</v>
      </c>
      <c r="C19" s="1">
        <v>20909</v>
      </c>
    </row>
    <row r="20" spans="1:3" x14ac:dyDescent="0.35">
      <c r="A20" s="2" t="s">
        <v>13</v>
      </c>
      <c r="B20" s="1">
        <v>24020</v>
      </c>
      <c r="C20" s="1">
        <v>23962</v>
      </c>
    </row>
    <row r="21" spans="1:3" x14ac:dyDescent="0.35">
      <c r="A21" s="21" t="s">
        <v>204</v>
      </c>
      <c r="B21" s="13">
        <v>1.28</v>
      </c>
      <c r="C21" s="13">
        <v>1.3</v>
      </c>
    </row>
    <row r="24" spans="1:3" x14ac:dyDescent="0.35">
      <c r="A24" t="s">
        <v>185</v>
      </c>
      <c r="B24" s="1" t="s">
        <v>182</v>
      </c>
      <c r="C24" s="1" t="s">
        <v>183</v>
      </c>
    </row>
    <row r="25" spans="1:3" x14ac:dyDescent="0.35">
      <c r="A25" s="2" t="s">
        <v>4</v>
      </c>
      <c r="B25" s="1"/>
      <c r="C25" s="1"/>
    </row>
    <row r="26" spans="1:3" x14ac:dyDescent="0.35">
      <c r="A26" t="s">
        <v>240</v>
      </c>
      <c r="B26" s="1">
        <v>22131</v>
      </c>
      <c r="C26" s="1">
        <v>21007</v>
      </c>
    </row>
    <row r="27" spans="1:3" x14ac:dyDescent="0.35">
      <c r="A27" t="s">
        <v>242</v>
      </c>
      <c r="B27" s="1">
        <v>-17002</v>
      </c>
      <c r="C27" s="1">
        <v>-16165</v>
      </c>
    </row>
    <row r="28" spans="1:3" x14ac:dyDescent="0.35">
      <c r="A28" t="s">
        <v>14</v>
      </c>
      <c r="B28" s="10">
        <v>-1679</v>
      </c>
      <c r="C28" s="10">
        <v>-1584</v>
      </c>
    </row>
    <row r="29" spans="1:3" ht="15" thickBot="1" x14ac:dyDescent="0.4">
      <c r="B29" s="11">
        <v>3450</v>
      </c>
      <c r="C29" s="11">
        <v>3258</v>
      </c>
    </row>
    <row r="30" spans="1:3" ht="15" thickTop="1" x14ac:dyDescent="0.35">
      <c r="A30" s="2" t="s">
        <v>15</v>
      </c>
      <c r="B30" s="1"/>
      <c r="C30" s="1"/>
    </row>
    <row r="31" spans="1:3" x14ac:dyDescent="0.35">
      <c r="A31" t="s">
        <v>16</v>
      </c>
      <c r="B31" s="1">
        <v>5837</v>
      </c>
      <c r="C31" s="1">
        <v>5719</v>
      </c>
    </row>
    <row r="32" spans="1:3" x14ac:dyDescent="0.35">
      <c r="A32" t="s">
        <v>17</v>
      </c>
      <c r="B32" s="10">
        <v>1328</v>
      </c>
      <c r="C32" s="10">
        <v>1280</v>
      </c>
    </row>
    <row r="33" spans="1:3" x14ac:dyDescent="0.35">
      <c r="B33" s="1">
        <v>7165</v>
      </c>
      <c r="C33" s="1">
        <v>6999</v>
      </c>
    </row>
    <row r="34" spans="1:3" x14ac:dyDescent="0.35">
      <c r="A34" t="s">
        <v>18</v>
      </c>
      <c r="B34" s="1">
        <v>-6116</v>
      </c>
      <c r="C34" s="1">
        <v>-5851</v>
      </c>
    </row>
    <row r="35" spans="1:3" x14ac:dyDescent="0.35">
      <c r="A35" t="s">
        <v>19</v>
      </c>
      <c r="B35" s="1">
        <v>-303</v>
      </c>
      <c r="C35" s="1">
        <v>26</v>
      </c>
    </row>
    <row r="36" spans="1:3" x14ac:dyDescent="0.35">
      <c r="A36" t="s">
        <v>20</v>
      </c>
      <c r="B36" s="10">
        <v>-143</v>
      </c>
      <c r="C36" s="10">
        <v>-159</v>
      </c>
    </row>
    <row r="37" spans="1:3" x14ac:dyDescent="0.35">
      <c r="B37" s="1">
        <v>603</v>
      </c>
      <c r="C37" s="1">
        <v>1015</v>
      </c>
    </row>
    <row r="38" spans="1:3" x14ac:dyDescent="0.35">
      <c r="A38" t="s">
        <v>21</v>
      </c>
      <c r="B38" s="1"/>
      <c r="C38" s="1"/>
    </row>
    <row r="39" spans="1:3" x14ac:dyDescent="0.35">
      <c r="A39" t="s">
        <v>16</v>
      </c>
      <c r="B39" s="1">
        <v>5044</v>
      </c>
      <c r="C39" s="1">
        <v>6828</v>
      </c>
    </row>
    <row r="40" spans="1:3" x14ac:dyDescent="0.35">
      <c r="A40" t="s">
        <v>18</v>
      </c>
      <c r="B40" s="1">
        <v>-5044</v>
      </c>
      <c r="C40" s="1">
        <v>-6828</v>
      </c>
    </row>
    <row r="41" spans="1:3" x14ac:dyDescent="0.35">
      <c r="B41" s="1" t="s">
        <v>22</v>
      </c>
      <c r="C41" s="1" t="s">
        <v>22</v>
      </c>
    </row>
    <row r="42" spans="1:3" x14ac:dyDescent="0.35">
      <c r="A42" s="2" t="s">
        <v>23</v>
      </c>
      <c r="B42" s="1"/>
      <c r="C42" s="1"/>
    </row>
    <row r="43" spans="1:3" x14ac:dyDescent="0.35">
      <c r="A43" t="s">
        <v>6</v>
      </c>
      <c r="B43" s="1">
        <v>3016</v>
      </c>
      <c r="C43" s="1">
        <v>2853</v>
      </c>
    </row>
    <row r="44" spans="1:3" x14ac:dyDescent="0.35">
      <c r="A44" t="s">
        <v>243</v>
      </c>
      <c r="B44" s="1">
        <v>-3408</v>
      </c>
      <c r="C44" s="1">
        <v>-3088</v>
      </c>
    </row>
    <row r="45" spans="1:3" x14ac:dyDescent="0.35">
      <c r="A45" t="s">
        <v>24</v>
      </c>
      <c r="B45" s="1">
        <v>-194</v>
      </c>
      <c r="C45" s="1">
        <v>-185</v>
      </c>
    </row>
    <row r="46" spans="1:3" x14ac:dyDescent="0.35">
      <c r="A46" t="s">
        <v>25</v>
      </c>
      <c r="B46" s="1">
        <v>-107</v>
      </c>
      <c r="C46" s="1">
        <v>-105</v>
      </c>
    </row>
    <row r="47" spans="1:3" x14ac:dyDescent="0.35">
      <c r="A47" t="s">
        <v>26</v>
      </c>
      <c r="B47" s="1">
        <v>-346</v>
      </c>
      <c r="C47" s="1">
        <v>-49</v>
      </c>
    </row>
    <row r="48" spans="1:3" x14ac:dyDescent="0.35">
      <c r="A48" s="2" t="s">
        <v>27</v>
      </c>
      <c r="B48" s="1">
        <v>3014</v>
      </c>
      <c r="C48" s="1">
        <v>3699</v>
      </c>
    </row>
    <row r="49" spans="1:3" x14ac:dyDescent="0.35">
      <c r="A49" t="s">
        <v>28</v>
      </c>
      <c r="B49" s="1">
        <v>248</v>
      </c>
      <c r="C49" s="1">
        <v>455</v>
      </c>
    </row>
    <row r="50" spans="1:3" x14ac:dyDescent="0.35">
      <c r="A50" s="2" t="s">
        <v>29</v>
      </c>
      <c r="B50" s="1">
        <v>2766</v>
      </c>
      <c r="C50" s="1">
        <v>3244</v>
      </c>
    </row>
    <row r="51" spans="1:3" x14ac:dyDescent="0.35">
      <c r="A51" t="s">
        <v>30</v>
      </c>
      <c r="B51" s="1" t="s">
        <v>22</v>
      </c>
      <c r="C51" s="1">
        <v>-3</v>
      </c>
    </row>
    <row r="52" spans="1:3" x14ac:dyDescent="0.35">
      <c r="A52" s="2" t="s">
        <v>3</v>
      </c>
      <c r="B52" s="1">
        <v>2766</v>
      </c>
      <c r="C52" s="1">
        <v>3247</v>
      </c>
    </row>
    <row r="53" spans="1:3" x14ac:dyDescent="0.35">
      <c r="A53" t="s">
        <v>31</v>
      </c>
      <c r="B53" s="1">
        <v>42</v>
      </c>
      <c r="C53" s="1">
        <v>107</v>
      </c>
    </row>
    <row r="54" spans="1:3" x14ac:dyDescent="0.35">
      <c r="A54" s="2" t="s">
        <v>32</v>
      </c>
      <c r="B54" s="1">
        <v>2724</v>
      </c>
      <c r="C54" s="1">
        <v>3140</v>
      </c>
    </row>
    <row r="58" spans="1:3" x14ac:dyDescent="0.35">
      <c r="A58" t="s">
        <v>186</v>
      </c>
      <c r="B58" t="s">
        <v>182</v>
      </c>
      <c r="C58" t="s">
        <v>183</v>
      </c>
    </row>
    <row r="59" spans="1:3" x14ac:dyDescent="0.35">
      <c r="A59" s="2" t="s">
        <v>105</v>
      </c>
    </row>
    <row r="60" spans="1:3" x14ac:dyDescent="0.35">
      <c r="A60" t="s">
        <v>244</v>
      </c>
      <c r="B60" s="1">
        <v>4679</v>
      </c>
      <c r="C60" s="1">
        <v>4522</v>
      </c>
    </row>
    <row r="61" spans="1:3" x14ac:dyDescent="0.35">
      <c r="A61" t="s">
        <v>34</v>
      </c>
      <c r="B61" s="1">
        <v>104567</v>
      </c>
      <c r="C61" s="1">
        <v>100863</v>
      </c>
    </row>
    <row r="62" spans="1:3" x14ac:dyDescent="0.35">
      <c r="A62" t="s">
        <v>35</v>
      </c>
      <c r="B62" s="1">
        <v>26009</v>
      </c>
      <c r="C62" s="1">
        <v>25477</v>
      </c>
    </row>
    <row r="63" spans="1:3" x14ac:dyDescent="0.35">
      <c r="A63" t="s">
        <v>36</v>
      </c>
      <c r="B63" s="1">
        <v>16990</v>
      </c>
      <c r="C63" s="1">
        <v>14794</v>
      </c>
    </row>
    <row r="64" spans="1:3" x14ac:dyDescent="0.35">
      <c r="A64" t="s">
        <v>37</v>
      </c>
      <c r="B64" s="10">
        <v>8277</v>
      </c>
      <c r="C64" s="10">
        <v>8235</v>
      </c>
    </row>
    <row r="65" spans="1:3" x14ac:dyDescent="0.35">
      <c r="B65" s="1">
        <v>160522</v>
      </c>
      <c r="C65" s="1">
        <v>153891</v>
      </c>
    </row>
    <row r="66" spans="1:3" x14ac:dyDescent="0.35">
      <c r="C66" s="1"/>
    </row>
    <row r="67" spans="1:3" x14ac:dyDescent="0.35">
      <c r="A67" t="s">
        <v>38</v>
      </c>
      <c r="B67" s="1">
        <v>1256</v>
      </c>
      <c r="C67" s="1">
        <v>858</v>
      </c>
    </row>
    <row r="68" spans="1:3" x14ac:dyDescent="0.35">
      <c r="A68" t="s">
        <v>39</v>
      </c>
      <c r="B68" s="1">
        <v>6399</v>
      </c>
      <c r="C68" s="1">
        <v>6544</v>
      </c>
    </row>
    <row r="69" spans="1:3" x14ac:dyDescent="0.35">
      <c r="A69" t="s">
        <v>40</v>
      </c>
      <c r="B69" s="1">
        <v>6905</v>
      </c>
      <c r="C69" s="1">
        <v>6827</v>
      </c>
    </row>
    <row r="70" spans="1:3" x14ac:dyDescent="0.35">
      <c r="A70" t="s">
        <v>41</v>
      </c>
      <c r="B70" s="1">
        <v>2983</v>
      </c>
      <c r="C70" s="1">
        <v>2866</v>
      </c>
    </row>
    <row r="71" spans="1:3" x14ac:dyDescent="0.35">
      <c r="A71" t="s">
        <v>42</v>
      </c>
      <c r="B71" s="1">
        <v>1290</v>
      </c>
      <c r="C71" s="1">
        <v>1458</v>
      </c>
    </row>
    <row r="72" spans="1:3" x14ac:dyDescent="0.35">
      <c r="A72" t="s">
        <v>43</v>
      </c>
      <c r="B72" s="1">
        <v>641</v>
      </c>
      <c r="C72" s="1">
        <v>589</v>
      </c>
    </row>
    <row r="73" spans="1:3" x14ac:dyDescent="0.35">
      <c r="A73" t="s">
        <v>44</v>
      </c>
      <c r="B73" s="1">
        <v>321</v>
      </c>
      <c r="C73" s="1">
        <v>277</v>
      </c>
    </row>
    <row r="74" spans="1:3" x14ac:dyDescent="0.35">
      <c r="A74" t="s">
        <v>45</v>
      </c>
      <c r="B74" s="1">
        <v>3926</v>
      </c>
      <c r="C74" s="1">
        <v>3704</v>
      </c>
    </row>
    <row r="75" spans="1:3" x14ac:dyDescent="0.35">
      <c r="A75" t="s">
        <v>46</v>
      </c>
      <c r="B75" s="1">
        <v>2981</v>
      </c>
      <c r="C75" s="1">
        <v>2647</v>
      </c>
    </row>
    <row r="76" spans="1:3" x14ac:dyDescent="0.35">
      <c r="A76" t="s">
        <v>47</v>
      </c>
      <c r="B76" s="1">
        <v>315</v>
      </c>
      <c r="C76" s="1">
        <v>185</v>
      </c>
    </row>
    <row r="77" spans="1:3" x14ac:dyDescent="0.35">
      <c r="A77" t="s">
        <v>48</v>
      </c>
      <c r="B77" s="1">
        <v>1156</v>
      </c>
      <c r="C77" s="1">
        <v>958</v>
      </c>
    </row>
    <row r="78" spans="1:3" x14ac:dyDescent="0.35">
      <c r="A78" t="s">
        <v>49</v>
      </c>
      <c r="B78" s="10">
        <v>316957</v>
      </c>
      <c r="C78" s="10">
        <v>280400</v>
      </c>
    </row>
    <row r="79" spans="1:3" ht="15" thickBot="1" x14ac:dyDescent="0.4">
      <c r="A79" s="2" t="s">
        <v>7</v>
      </c>
      <c r="B79" s="11">
        <v>505652</v>
      </c>
      <c r="C79" s="11">
        <v>461204</v>
      </c>
    </row>
    <row r="80" spans="1:3" ht="15" thickTop="1" x14ac:dyDescent="0.35">
      <c r="A80" s="2"/>
      <c r="C80" s="1"/>
    </row>
    <row r="81" spans="1:3" x14ac:dyDescent="0.35">
      <c r="A81" s="2" t="s">
        <v>50</v>
      </c>
      <c r="B81" s="1"/>
      <c r="C81" s="1"/>
    </row>
    <row r="82" spans="1:3" x14ac:dyDescent="0.35">
      <c r="A82" t="s">
        <v>51</v>
      </c>
      <c r="B82" s="1">
        <v>147329</v>
      </c>
      <c r="C82" s="1">
        <v>140310</v>
      </c>
    </row>
    <row r="83" spans="1:3" x14ac:dyDescent="0.35">
      <c r="A83" t="s">
        <v>52</v>
      </c>
      <c r="B83" s="1">
        <v>4422</v>
      </c>
      <c r="C83" s="1">
        <v>4687</v>
      </c>
    </row>
    <row r="84" spans="1:3" x14ac:dyDescent="0.35">
      <c r="A84" t="s">
        <v>53</v>
      </c>
      <c r="B84" s="1">
        <v>787</v>
      </c>
      <c r="C84" s="1">
        <v>628</v>
      </c>
    </row>
    <row r="85" spans="1:3" x14ac:dyDescent="0.35">
      <c r="A85" t="s">
        <v>245</v>
      </c>
      <c r="B85" s="1">
        <v>827</v>
      </c>
      <c r="C85" s="1">
        <v>807</v>
      </c>
    </row>
    <row r="86" spans="1:3" x14ac:dyDescent="0.35">
      <c r="A86" t="s">
        <v>54</v>
      </c>
      <c r="B86" s="1">
        <v>1000</v>
      </c>
      <c r="C86" s="1">
        <v>1000</v>
      </c>
    </row>
    <row r="87" spans="1:3" x14ac:dyDescent="0.35">
      <c r="A87" t="s">
        <v>42</v>
      </c>
      <c r="B87" s="1">
        <v>2130</v>
      </c>
      <c r="C87" s="1">
        <v>2074</v>
      </c>
    </row>
    <row r="88" spans="1:3" x14ac:dyDescent="0.35">
      <c r="A88" t="s">
        <v>55</v>
      </c>
      <c r="B88" s="1">
        <v>2236</v>
      </c>
      <c r="C88" s="1">
        <v>2028</v>
      </c>
    </row>
    <row r="89" spans="1:3" x14ac:dyDescent="0.35">
      <c r="A89" t="s">
        <v>56</v>
      </c>
      <c r="B89" s="1">
        <v>5006</v>
      </c>
      <c r="C89" s="1">
        <v>4534</v>
      </c>
    </row>
    <row r="90" spans="1:3" x14ac:dyDescent="0.35">
      <c r="A90" t="s">
        <v>47</v>
      </c>
      <c r="B90" s="1">
        <v>400</v>
      </c>
      <c r="C90" s="1">
        <v>227</v>
      </c>
    </row>
    <row r="91" spans="1:3" x14ac:dyDescent="0.35">
      <c r="A91" t="s">
        <v>57</v>
      </c>
      <c r="B91" s="1">
        <v>538</v>
      </c>
      <c r="C91" s="1">
        <v>547</v>
      </c>
    </row>
    <row r="92" spans="1:3" x14ac:dyDescent="0.35">
      <c r="A92" t="s">
        <v>58</v>
      </c>
      <c r="B92" s="1">
        <v>56153</v>
      </c>
      <c r="C92" s="1">
        <v>51934</v>
      </c>
    </row>
    <row r="93" spans="1:3" x14ac:dyDescent="0.35">
      <c r="A93" t="s">
        <v>59</v>
      </c>
      <c r="B93" s="10">
        <v>260804</v>
      </c>
      <c r="C93" s="10">
        <v>228466</v>
      </c>
    </row>
    <row r="94" spans="1:3" x14ac:dyDescent="0.35">
      <c r="A94" s="2" t="s">
        <v>60</v>
      </c>
      <c r="B94" s="1">
        <v>481632</v>
      </c>
      <c r="C94" s="1">
        <v>437242</v>
      </c>
    </row>
    <row r="95" spans="1:3" x14ac:dyDescent="0.35">
      <c r="A95" s="2"/>
      <c r="C95" s="1"/>
    </row>
    <row r="96" spans="1:3" x14ac:dyDescent="0.35">
      <c r="A96" s="2" t="s">
        <v>61</v>
      </c>
      <c r="B96" s="1"/>
      <c r="C96" s="1"/>
    </row>
    <row r="97" spans="1:9" x14ac:dyDescent="0.35">
      <c r="A97" t="s">
        <v>62</v>
      </c>
      <c r="B97" s="1">
        <v>3082</v>
      </c>
      <c r="C97" s="1">
        <v>3043</v>
      </c>
    </row>
    <row r="98" spans="1:9" x14ac:dyDescent="0.35">
      <c r="A98" t="s">
        <v>63</v>
      </c>
      <c r="B98" s="1" t="s">
        <v>22</v>
      </c>
      <c r="C98" s="1">
        <v>10</v>
      </c>
    </row>
    <row r="99" spans="1:9" x14ac:dyDescent="0.35">
      <c r="A99" t="s">
        <v>64</v>
      </c>
      <c r="B99" s="1"/>
      <c r="C99" s="1"/>
    </row>
    <row r="100" spans="1:9" x14ac:dyDescent="0.35">
      <c r="A100" t="s">
        <v>65</v>
      </c>
      <c r="B100" s="1"/>
      <c r="C100" s="1"/>
    </row>
    <row r="101" spans="1:9" x14ac:dyDescent="0.35">
      <c r="A101" t="s">
        <v>66</v>
      </c>
      <c r="B101" s="1">
        <v>7995</v>
      </c>
      <c r="C101" s="1">
        <v>7995</v>
      </c>
    </row>
    <row r="102" spans="1:9" x14ac:dyDescent="0.35">
      <c r="A102" t="s">
        <v>67</v>
      </c>
      <c r="B102" s="1">
        <v>11332</v>
      </c>
      <c r="C102" s="1">
        <v>11758</v>
      </c>
    </row>
    <row r="103" spans="1:9" x14ac:dyDescent="0.35">
      <c r="A103" t="s">
        <v>68</v>
      </c>
      <c r="B103" s="1">
        <v>1154</v>
      </c>
      <c r="C103" s="1">
        <v>711</v>
      </c>
    </row>
    <row r="104" spans="1:9" x14ac:dyDescent="0.35">
      <c r="A104" t="s">
        <v>69</v>
      </c>
      <c r="B104" s="10">
        <v>457</v>
      </c>
      <c r="C104" s="10">
        <v>445</v>
      </c>
    </row>
    <row r="105" spans="1:9" x14ac:dyDescent="0.35">
      <c r="A105" s="2" t="s">
        <v>13</v>
      </c>
      <c r="B105" s="12">
        <v>24020</v>
      </c>
      <c r="C105" s="12">
        <v>23962</v>
      </c>
    </row>
    <row r="106" spans="1:9" ht="15" thickBot="1" x14ac:dyDescent="0.4">
      <c r="A106" s="2" t="s">
        <v>70</v>
      </c>
      <c r="B106" s="11">
        <v>505652</v>
      </c>
      <c r="C106" s="11">
        <v>461204</v>
      </c>
    </row>
    <row r="107" spans="1:9" ht="15" thickTop="1" x14ac:dyDescent="0.35"/>
    <row r="109" spans="1:9" x14ac:dyDescent="0.35">
      <c r="A109" t="s">
        <v>187</v>
      </c>
      <c r="B109" t="s">
        <v>193</v>
      </c>
      <c r="C109" t="s">
        <v>194</v>
      </c>
      <c r="D109" t="s">
        <v>195</v>
      </c>
      <c r="E109" t="s">
        <v>196</v>
      </c>
      <c r="F109" t="s">
        <v>197</v>
      </c>
      <c r="G109" t="s">
        <v>198</v>
      </c>
      <c r="H109" t="s">
        <v>199</v>
      </c>
      <c r="I109" t="s">
        <v>200</v>
      </c>
    </row>
    <row r="110" spans="1:9" x14ac:dyDescent="0.35">
      <c r="A110" s="2" t="s">
        <v>166</v>
      </c>
      <c r="B110" s="3">
        <v>7995</v>
      </c>
      <c r="C110" s="4">
        <v>445</v>
      </c>
      <c r="D110" s="3">
        <v>11758</v>
      </c>
      <c r="E110" s="4">
        <v>711</v>
      </c>
      <c r="F110" s="3">
        <v>20909</v>
      </c>
      <c r="G110" s="4">
        <v>10</v>
      </c>
      <c r="H110" s="3">
        <v>3043</v>
      </c>
      <c r="I110" s="4">
        <v>23962</v>
      </c>
    </row>
    <row r="111" spans="1:9" x14ac:dyDescent="0.35">
      <c r="A111" t="s">
        <v>188</v>
      </c>
      <c r="B111" s="4" t="s">
        <v>22</v>
      </c>
      <c r="C111" s="4" t="s">
        <v>22</v>
      </c>
      <c r="D111" s="3">
        <v>2724</v>
      </c>
      <c r="E111" s="4" t="s">
        <v>22</v>
      </c>
      <c r="F111" s="3">
        <v>2724</v>
      </c>
      <c r="G111" s="4" t="s">
        <v>22</v>
      </c>
      <c r="H111" s="4">
        <v>42</v>
      </c>
      <c r="I111" s="4">
        <v>2766</v>
      </c>
    </row>
    <row r="112" spans="1:9" x14ac:dyDescent="0.35">
      <c r="A112" t="s">
        <v>189</v>
      </c>
      <c r="B112" s="7" t="s">
        <v>22</v>
      </c>
      <c r="C112" s="7" t="s">
        <v>22</v>
      </c>
      <c r="D112" s="7" t="s">
        <v>22</v>
      </c>
      <c r="E112" s="7">
        <v>443</v>
      </c>
      <c r="F112" s="7">
        <v>443</v>
      </c>
      <c r="G112" s="7" t="s">
        <v>22</v>
      </c>
      <c r="H112" s="7">
        <v>-3</v>
      </c>
      <c r="I112" s="7">
        <v>440</v>
      </c>
    </row>
    <row r="113" spans="1:9" x14ac:dyDescent="0.35">
      <c r="B113" s="3">
        <v>7995</v>
      </c>
      <c r="C113" s="4">
        <v>445</v>
      </c>
      <c r="D113" s="3">
        <v>14482</v>
      </c>
      <c r="E113" s="3">
        <v>1154</v>
      </c>
      <c r="F113" s="3">
        <v>24076</v>
      </c>
      <c r="G113" s="4">
        <v>10</v>
      </c>
      <c r="H113" s="3">
        <v>3082</v>
      </c>
      <c r="I113" s="4">
        <v>27168</v>
      </c>
    </row>
    <row r="114" spans="1:9" x14ac:dyDescent="0.35">
      <c r="A114" t="s">
        <v>190</v>
      </c>
      <c r="B114" s="4" t="s">
        <v>22</v>
      </c>
      <c r="C114" s="4" t="s">
        <v>22</v>
      </c>
      <c r="D114" s="3">
        <v>-3150</v>
      </c>
      <c r="E114" s="4" t="s">
        <v>22</v>
      </c>
      <c r="F114" s="3">
        <v>-3150</v>
      </c>
      <c r="G114" s="4" t="s">
        <v>22</v>
      </c>
      <c r="H114" s="4" t="s">
        <v>22</v>
      </c>
      <c r="I114" s="4">
        <v>-3150</v>
      </c>
    </row>
    <row r="115" spans="1:9" x14ac:dyDescent="0.35">
      <c r="A115" t="s">
        <v>191</v>
      </c>
      <c r="B115" s="4" t="s">
        <v>22</v>
      </c>
      <c r="C115" s="4">
        <v>12</v>
      </c>
      <c r="D115" s="4" t="s">
        <v>22</v>
      </c>
      <c r="E115" s="4" t="s">
        <v>22</v>
      </c>
      <c r="F115" s="4">
        <v>12</v>
      </c>
      <c r="G115" s="4" t="s">
        <v>22</v>
      </c>
      <c r="H115" s="4" t="s">
        <v>22</v>
      </c>
      <c r="I115" s="4">
        <v>12</v>
      </c>
    </row>
    <row r="116" spans="1:9" x14ac:dyDescent="0.35">
      <c r="A116" t="s">
        <v>192</v>
      </c>
      <c r="B116" s="7" t="s">
        <v>22</v>
      </c>
      <c r="C116" s="7" t="s">
        <v>22</v>
      </c>
      <c r="D116" s="7" t="s">
        <v>22</v>
      </c>
      <c r="E116" s="7" t="s">
        <v>22</v>
      </c>
      <c r="F116" s="7" t="s">
        <v>22</v>
      </c>
      <c r="G116" s="7">
        <v>-10</v>
      </c>
      <c r="H116" s="7" t="s">
        <v>22</v>
      </c>
      <c r="I116" s="7">
        <v>-10</v>
      </c>
    </row>
    <row r="117" spans="1:9" ht="15" thickBot="1" x14ac:dyDescent="0.4">
      <c r="A117" s="2" t="s">
        <v>167</v>
      </c>
      <c r="B117" s="8">
        <v>7995</v>
      </c>
      <c r="C117" s="9">
        <v>457</v>
      </c>
      <c r="D117" s="8">
        <v>11332</v>
      </c>
      <c r="E117" s="8">
        <v>1154</v>
      </c>
      <c r="F117" s="8">
        <v>20938</v>
      </c>
      <c r="G117" s="9" t="s">
        <v>22</v>
      </c>
      <c r="H117" s="8">
        <v>3082</v>
      </c>
      <c r="I117" s="9">
        <v>24020</v>
      </c>
    </row>
    <row r="118" spans="1:9" ht="15" thickTop="1" x14ac:dyDescent="0.35"/>
    <row r="121" spans="1:9" x14ac:dyDescent="0.35">
      <c r="A121" t="s">
        <v>201</v>
      </c>
      <c r="B121" t="s">
        <v>182</v>
      </c>
      <c r="C121" t="s">
        <v>183</v>
      </c>
    </row>
    <row r="122" spans="1:9" x14ac:dyDescent="0.35">
      <c r="A122" s="2" t="s">
        <v>109</v>
      </c>
    </row>
    <row r="123" spans="1:9" x14ac:dyDescent="0.35">
      <c r="A123" t="s">
        <v>27</v>
      </c>
      <c r="B123">
        <v>3014</v>
      </c>
      <c r="C123">
        <v>3699</v>
      </c>
    </row>
    <row r="124" spans="1:9" x14ac:dyDescent="0.35">
      <c r="A124" t="s">
        <v>71</v>
      </c>
      <c r="B124">
        <v>-554</v>
      </c>
      <c r="C124">
        <v>-602</v>
      </c>
    </row>
    <row r="125" spans="1:9" x14ac:dyDescent="0.35">
      <c r="A125" t="s">
        <v>72</v>
      </c>
    </row>
    <row r="126" spans="1:9" x14ac:dyDescent="0.35">
      <c r="A126" t="s">
        <v>73</v>
      </c>
      <c r="B126">
        <v>5118</v>
      </c>
      <c r="C126">
        <v>6256</v>
      </c>
    </row>
    <row r="127" spans="1:9" x14ac:dyDescent="0.35">
      <c r="A127" t="s">
        <v>74</v>
      </c>
      <c r="B127">
        <v>-261</v>
      </c>
      <c r="C127">
        <v>-326</v>
      </c>
    </row>
    <row r="128" spans="1:9" x14ac:dyDescent="0.35">
      <c r="A128" t="s">
        <v>75</v>
      </c>
      <c r="B128">
        <v>147</v>
      </c>
      <c r="C128">
        <v>133</v>
      </c>
    </row>
    <row r="129" spans="1:3" x14ac:dyDescent="0.35">
      <c r="A129" t="s">
        <v>76</v>
      </c>
      <c r="B129">
        <v>351</v>
      </c>
      <c r="C129">
        <v>206</v>
      </c>
    </row>
    <row r="130" spans="1:3" x14ac:dyDescent="0.35">
      <c r="A130" t="s">
        <v>77</v>
      </c>
      <c r="B130">
        <v>-376</v>
      </c>
      <c r="C130">
        <v>58</v>
      </c>
    </row>
    <row r="131" spans="1:3" x14ac:dyDescent="0.35">
      <c r="A131" t="s">
        <v>78</v>
      </c>
      <c r="B131">
        <v>-1328</v>
      </c>
      <c r="C131">
        <v>-1280</v>
      </c>
    </row>
    <row r="132" spans="1:3" x14ac:dyDescent="0.35">
      <c r="A132" t="s">
        <v>79</v>
      </c>
      <c r="B132">
        <v>37806</v>
      </c>
      <c r="C132">
        <v>31916</v>
      </c>
    </row>
    <row r="133" spans="1:3" x14ac:dyDescent="0.35">
      <c r="A133" t="s">
        <v>80</v>
      </c>
      <c r="B133">
        <v>-40045</v>
      </c>
      <c r="C133">
        <v>-35642</v>
      </c>
    </row>
    <row r="134" spans="1:3" x14ac:dyDescent="0.35">
      <c r="A134" t="s">
        <v>81</v>
      </c>
      <c r="B134" s="5">
        <v>-621</v>
      </c>
      <c r="C134" s="5">
        <v>-1071</v>
      </c>
    </row>
    <row r="135" spans="1:3" x14ac:dyDescent="0.35">
      <c r="B135">
        <v>3251</v>
      </c>
      <c r="C135">
        <v>3347</v>
      </c>
    </row>
    <row r="136" spans="1:3" x14ac:dyDescent="0.35">
      <c r="A136" s="2" t="s">
        <v>82</v>
      </c>
    </row>
    <row r="137" spans="1:3" x14ac:dyDescent="0.35">
      <c r="A137" t="s">
        <v>83</v>
      </c>
      <c r="B137">
        <v>-3150</v>
      </c>
      <c r="C137">
        <v>-2838</v>
      </c>
    </row>
    <row r="139" spans="1:3" x14ac:dyDescent="0.35">
      <c r="A139" s="2" t="s">
        <v>84</v>
      </c>
    </row>
    <row r="140" spans="1:3" x14ac:dyDescent="0.35">
      <c r="A140" t="s">
        <v>85</v>
      </c>
      <c r="B140">
        <v>-22</v>
      </c>
      <c r="C140">
        <v>-103</v>
      </c>
    </row>
    <row r="142" spans="1:3" x14ac:dyDescent="0.35">
      <c r="A142" t="s">
        <v>86</v>
      </c>
      <c r="B142">
        <v>78</v>
      </c>
      <c r="C142">
        <v>172</v>
      </c>
    </row>
    <row r="143" spans="1:3" x14ac:dyDescent="0.35">
      <c r="A143" s="2" t="s">
        <v>87</v>
      </c>
      <c r="B143">
        <v>157</v>
      </c>
      <c r="C143">
        <v>578</v>
      </c>
    </row>
    <row r="144" spans="1:3" x14ac:dyDescent="0.35">
      <c r="A144" s="2" t="s">
        <v>88</v>
      </c>
      <c r="B144" s="5">
        <v>4522</v>
      </c>
      <c r="C144" s="5">
        <v>3944</v>
      </c>
    </row>
    <row r="145" spans="1:3" ht="15" thickBot="1" x14ac:dyDescent="0.4">
      <c r="A145" s="2" t="s">
        <v>89</v>
      </c>
      <c r="B145" s="6">
        <v>4679</v>
      </c>
      <c r="C145" s="6">
        <v>4522</v>
      </c>
    </row>
    <row r="146" spans="1:3" ht="15" thickTop="1" x14ac:dyDescent="0.35">
      <c r="A146" s="2" t="s">
        <v>90</v>
      </c>
    </row>
    <row r="147" spans="1:3" x14ac:dyDescent="0.35">
      <c r="A147" t="s">
        <v>91</v>
      </c>
      <c r="B147">
        <v>5172</v>
      </c>
      <c r="C147">
        <v>4675</v>
      </c>
    </row>
    <row r="148" spans="1:3" x14ac:dyDescent="0.35">
      <c r="A148" t="s">
        <v>92</v>
      </c>
      <c r="B148">
        <v>114</v>
      </c>
      <c r="C148">
        <v>112</v>
      </c>
    </row>
    <row r="149" spans="1:3" x14ac:dyDescent="0.35">
      <c r="A149" t="s">
        <v>93</v>
      </c>
      <c r="B149">
        <v>447</v>
      </c>
      <c r="C149">
        <v>417</v>
      </c>
    </row>
  </sheetData>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C63A6-4620-4375-AB9A-71154E8FF4C3}">
  <dimension ref="A2:I147"/>
  <sheetViews>
    <sheetView workbookViewId="0">
      <selection activeCell="C21" sqref="C21"/>
    </sheetView>
  </sheetViews>
  <sheetFormatPr defaultRowHeight="14.5" x14ac:dyDescent="0.35"/>
  <cols>
    <col min="1" max="1" width="72.6328125" bestFit="1" customWidth="1"/>
    <col min="2" max="2" width="14.08984375" bestFit="1" customWidth="1"/>
    <col min="3" max="3" width="20" bestFit="1" customWidth="1"/>
    <col min="4" max="4" width="21.08984375" bestFit="1" customWidth="1"/>
    <col min="5" max="5" width="44.6328125" bestFit="1" customWidth="1"/>
    <col min="6" max="6" width="24.81640625" bestFit="1" customWidth="1"/>
    <col min="7" max="7" width="24.08984375" bestFit="1" customWidth="1"/>
    <col min="8" max="8" width="28" bestFit="1" customWidth="1"/>
    <col min="9" max="9" width="12.81640625" bestFit="1" customWidth="1"/>
    <col min="10" max="16" width="11.7265625" bestFit="1" customWidth="1"/>
  </cols>
  <sheetData>
    <row r="2" spans="1:3" x14ac:dyDescent="0.35">
      <c r="A2" t="s">
        <v>205</v>
      </c>
      <c r="B2" t="s">
        <v>183</v>
      </c>
      <c r="C2" t="s">
        <v>103</v>
      </c>
    </row>
    <row r="3" spans="1:3" x14ac:dyDescent="0.35">
      <c r="A3" s="2" t="s">
        <v>0</v>
      </c>
    </row>
    <row r="4" spans="1:3" x14ac:dyDescent="0.35">
      <c r="A4" t="s">
        <v>1</v>
      </c>
      <c r="B4" s="1">
        <v>107</v>
      </c>
      <c r="C4" s="1">
        <v>24</v>
      </c>
    </row>
    <row r="5" spans="1:3" x14ac:dyDescent="0.35">
      <c r="A5" t="s">
        <v>2</v>
      </c>
      <c r="B5" s="10">
        <v>3140</v>
      </c>
      <c r="C5" s="10">
        <v>2394</v>
      </c>
    </row>
    <row r="6" spans="1:3" x14ac:dyDescent="0.35">
      <c r="A6" s="14" t="s">
        <v>3</v>
      </c>
      <c r="B6" s="10">
        <v>3247</v>
      </c>
      <c r="C6" s="10">
        <v>2418</v>
      </c>
    </row>
    <row r="7" spans="1:3" x14ac:dyDescent="0.35">
      <c r="A7" s="2"/>
      <c r="C7" s="1"/>
    </row>
    <row r="8" spans="1:3" x14ac:dyDescent="0.35">
      <c r="A8" s="2" t="s">
        <v>4</v>
      </c>
      <c r="B8" s="1">
        <v>3258</v>
      </c>
      <c r="C8" s="1">
        <v>3002</v>
      </c>
    </row>
    <row r="9" spans="1:3" x14ac:dyDescent="0.35">
      <c r="A9" s="2" t="s">
        <v>5</v>
      </c>
      <c r="B9" s="1">
        <v>1015</v>
      </c>
      <c r="C9" s="1">
        <v>200</v>
      </c>
    </row>
    <row r="10" spans="1:3" x14ac:dyDescent="0.35">
      <c r="A10" s="14" t="s">
        <v>6</v>
      </c>
      <c r="B10" s="10">
        <v>2853</v>
      </c>
      <c r="C10" s="10">
        <v>2163</v>
      </c>
    </row>
    <row r="11" spans="1:3" x14ac:dyDescent="0.35">
      <c r="A11" s="2"/>
      <c r="C11" s="1"/>
    </row>
    <row r="12" spans="1:3" x14ac:dyDescent="0.35">
      <c r="A12" s="2" t="s">
        <v>7</v>
      </c>
      <c r="B12" s="1">
        <v>461204</v>
      </c>
      <c r="C12" s="1">
        <v>410616</v>
      </c>
    </row>
    <row r="13" spans="1:3" x14ac:dyDescent="0.35">
      <c r="A13" s="2" t="s">
        <v>94</v>
      </c>
      <c r="B13" s="1">
        <v>576201</v>
      </c>
      <c r="C13" s="1">
        <v>499941</v>
      </c>
    </row>
    <row r="14" spans="1:3" x14ac:dyDescent="0.35">
      <c r="A14" s="2" t="s">
        <v>203</v>
      </c>
      <c r="B14" s="1">
        <v>654853</v>
      </c>
      <c r="C14" s="1">
        <v>567652</v>
      </c>
    </row>
    <row r="15" spans="1:3" x14ac:dyDescent="0.35">
      <c r="A15" s="2" t="s">
        <v>8</v>
      </c>
      <c r="B15" s="1">
        <v>13243</v>
      </c>
      <c r="C15" s="1">
        <v>12458</v>
      </c>
    </row>
    <row r="16" spans="1:3" x14ac:dyDescent="0.35">
      <c r="A16" s="2"/>
      <c r="C16" s="1"/>
    </row>
    <row r="17" spans="1:3" x14ac:dyDescent="0.35">
      <c r="A17" t="s">
        <v>9</v>
      </c>
      <c r="B17" s="1">
        <v>3043</v>
      </c>
      <c r="C17" s="1">
        <v>2844</v>
      </c>
    </row>
    <row r="18" spans="1:3" x14ac:dyDescent="0.35">
      <c r="A18" t="s">
        <v>10</v>
      </c>
      <c r="B18" s="1">
        <v>10</v>
      </c>
      <c r="C18" s="1">
        <v>16</v>
      </c>
    </row>
    <row r="19" spans="1:3" x14ac:dyDescent="0.35">
      <c r="A19" t="s">
        <v>12</v>
      </c>
      <c r="B19" s="10">
        <v>20909</v>
      </c>
      <c r="C19" s="10">
        <v>19813</v>
      </c>
    </row>
    <row r="20" spans="1:3" x14ac:dyDescent="0.35">
      <c r="A20" s="2" t="s">
        <v>13</v>
      </c>
      <c r="B20" s="1">
        <v>23962</v>
      </c>
      <c r="C20" s="1">
        <v>22673</v>
      </c>
    </row>
    <row r="21" spans="1:3" x14ac:dyDescent="0.35">
      <c r="A21" s="2" t="s">
        <v>204</v>
      </c>
      <c r="B21" s="13">
        <v>1.3</v>
      </c>
      <c r="C21" s="13">
        <v>1.28</v>
      </c>
    </row>
    <row r="24" spans="1:3" x14ac:dyDescent="0.35">
      <c r="A24" t="s">
        <v>213</v>
      </c>
      <c r="B24" t="s">
        <v>183</v>
      </c>
      <c r="C24" t="s">
        <v>103</v>
      </c>
    </row>
    <row r="25" spans="1:3" x14ac:dyDescent="0.35">
      <c r="A25" s="2" t="s">
        <v>4</v>
      </c>
      <c r="B25" s="1"/>
      <c r="C25" s="1"/>
    </row>
    <row r="26" spans="1:3" x14ac:dyDescent="0.35">
      <c r="A26" t="s">
        <v>240</v>
      </c>
      <c r="B26" s="1">
        <v>21007</v>
      </c>
      <c r="C26" s="1">
        <v>20188</v>
      </c>
    </row>
    <row r="27" spans="1:3" x14ac:dyDescent="0.35">
      <c r="A27" t="s">
        <v>242</v>
      </c>
      <c r="B27" s="1">
        <v>-16165</v>
      </c>
      <c r="C27" s="1">
        <v>-15622</v>
      </c>
    </row>
    <row r="28" spans="1:3" x14ac:dyDescent="0.35">
      <c r="A28" t="s">
        <v>14</v>
      </c>
      <c r="B28" s="10">
        <v>-1584</v>
      </c>
      <c r="C28" s="10">
        <v>-1564</v>
      </c>
    </row>
    <row r="29" spans="1:3" x14ac:dyDescent="0.35">
      <c r="B29" s="12">
        <v>3258</v>
      </c>
      <c r="C29" s="12">
        <v>3002</v>
      </c>
    </row>
    <row r="30" spans="1:3" x14ac:dyDescent="0.35">
      <c r="A30" s="2" t="s">
        <v>15</v>
      </c>
      <c r="B30" s="1"/>
      <c r="C30" s="1"/>
    </row>
    <row r="31" spans="1:3" x14ac:dyDescent="0.35">
      <c r="A31" t="s">
        <v>16</v>
      </c>
      <c r="B31" s="1">
        <v>5719</v>
      </c>
      <c r="C31" s="1">
        <v>4877</v>
      </c>
    </row>
    <row r="32" spans="1:3" x14ac:dyDescent="0.35">
      <c r="A32" t="s">
        <v>17</v>
      </c>
      <c r="B32" s="10">
        <v>1280</v>
      </c>
      <c r="C32" s="10">
        <v>4267</v>
      </c>
    </row>
    <row r="33" spans="1:3" x14ac:dyDescent="0.35">
      <c r="B33" s="1">
        <v>6999</v>
      </c>
      <c r="C33" s="1">
        <v>9144</v>
      </c>
    </row>
    <row r="34" spans="1:3" x14ac:dyDescent="0.35">
      <c r="A34" t="s">
        <v>18</v>
      </c>
      <c r="B34" s="1">
        <v>-5851</v>
      </c>
      <c r="C34" s="1">
        <v>-9032</v>
      </c>
    </row>
    <row r="35" spans="1:3" x14ac:dyDescent="0.35">
      <c r="A35" t="s">
        <v>19</v>
      </c>
      <c r="B35" s="1">
        <v>26</v>
      </c>
      <c r="C35" s="1">
        <v>266</v>
      </c>
    </row>
    <row r="36" spans="1:3" x14ac:dyDescent="0.35">
      <c r="A36" t="s">
        <v>20</v>
      </c>
      <c r="B36" s="10">
        <v>-159</v>
      </c>
      <c r="C36" s="10">
        <v>-178</v>
      </c>
    </row>
    <row r="37" spans="1:3" x14ac:dyDescent="0.35">
      <c r="B37" s="12">
        <v>1015</v>
      </c>
      <c r="C37" s="12">
        <v>200</v>
      </c>
    </row>
    <row r="38" spans="1:3" x14ac:dyDescent="0.35">
      <c r="A38" s="2" t="s">
        <v>21</v>
      </c>
      <c r="B38" s="1"/>
      <c r="C38" s="1"/>
    </row>
    <row r="39" spans="1:3" x14ac:dyDescent="0.35">
      <c r="A39" t="s">
        <v>95</v>
      </c>
      <c r="B39" s="1">
        <v>6828</v>
      </c>
      <c r="C39" s="1">
        <v>4808</v>
      </c>
    </row>
    <row r="40" spans="1:3" x14ac:dyDescent="0.35">
      <c r="A40" t="s">
        <v>18</v>
      </c>
      <c r="B40" s="10">
        <v>-6828</v>
      </c>
      <c r="C40" s="10">
        <v>-4808</v>
      </c>
    </row>
    <row r="41" spans="1:3" x14ac:dyDescent="0.35">
      <c r="B41" s="12" t="s">
        <v>22</v>
      </c>
      <c r="C41" s="12" t="s">
        <v>22</v>
      </c>
    </row>
    <row r="42" spans="1:3" x14ac:dyDescent="0.35">
      <c r="A42" s="2" t="s">
        <v>23</v>
      </c>
      <c r="B42" s="1"/>
      <c r="C42" s="1"/>
    </row>
    <row r="43" spans="1:3" x14ac:dyDescent="0.35">
      <c r="A43" t="s">
        <v>6</v>
      </c>
      <c r="B43" s="1">
        <v>2853</v>
      </c>
      <c r="C43" s="1">
        <v>2163</v>
      </c>
    </row>
    <row r="44" spans="1:3" x14ac:dyDescent="0.35">
      <c r="A44" t="s">
        <v>243</v>
      </c>
      <c r="B44" s="1">
        <v>-3088</v>
      </c>
      <c r="C44" s="1">
        <v>-2635</v>
      </c>
    </row>
    <row r="45" spans="1:3" x14ac:dyDescent="0.35">
      <c r="A45" t="s">
        <v>24</v>
      </c>
      <c r="B45" s="1">
        <v>-185</v>
      </c>
      <c r="C45" s="1">
        <v>-160</v>
      </c>
    </row>
    <row r="46" spans="1:3" x14ac:dyDescent="0.35">
      <c r="A46" t="s">
        <v>25</v>
      </c>
      <c r="B46" s="1">
        <v>-105</v>
      </c>
      <c r="C46" s="1">
        <v>-105</v>
      </c>
    </row>
    <row r="47" spans="1:3" x14ac:dyDescent="0.35">
      <c r="A47" t="s">
        <v>96</v>
      </c>
      <c r="B47" s="10">
        <v>-49</v>
      </c>
      <c r="C47" s="10">
        <v>-126</v>
      </c>
    </row>
    <row r="48" spans="1:3" x14ac:dyDescent="0.35">
      <c r="A48" s="2" t="s">
        <v>27</v>
      </c>
      <c r="B48" s="1">
        <v>3699</v>
      </c>
      <c r="C48" s="1">
        <v>2339</v>
      </c>
    </row>
    <row r="49" spans="1:3" x14ac:dyDescent="0.35">
      <c r="A49" t="s">
        <v>28</v>
      </c>
      <c r="B49" s="10">
        <v>455</v>
      </c>
      <c r="C49" s="10">
        <v>-80</v>
      </c>
    </row>
    <row r="50" spans="1:3" x14ac:dyDescent="0.35">
      <c r="A50" s="2" t="s">
        <v>29</v>
      </c>
      <c r="B50" s="1">
        <v>3244</v>
      </c>
      <c r="C50" s="1">
        <v>2419</v>
      </c>
    </row>
    <row r="51" spans="1:3" x14ac:dyDescent="0.35">
      <c r="A51" t="s">
        <v>30</v>
      </c>
      <c r="B51" s="10">
        <v>-3</v>
      </c>
      <c r="C51" s="10">
        <v>1</v>
      </c>
    </row>
    <row r="52" spans="1:3" x14ac:dyDescent="0.35">
      <c r="A52" s="2" t="s">
        <v>3</v>
      </c>
      <c r="B52" s="1">
        <v>3247</v>
      </c>
      <c r="C52" s="1">
        <v>2418</v>
      </c>
    </row>
    <row r="53" spans="1:3" x14ac:dyDescent="0.35">
      <c r="A53" t="s">
        <v>31</v>
      </c>
      <c r="B53" s="10">
        <v>107</v>
      </c>
      <c r="C53" s="10">
        <v>24</v>
      </c>
    </row>
    <row r="54" spans="1:3" ht="15" thickBot="1" x14ac:dyDescent="0.4">
      <c r="A54" s="2" t="s">
        <v>32</v>
      </c>
      <c r="B54" s="11">
        <v>3140</v>
      </c>
      <c r="C54" s="11">
        <v>2394</v>
      </c>
    </row>
    <row r="55" spans="1:3" ht="15" thickTop="1" x14ac:dyDescent="0.35"/>
    <row r="57" spans="1:3" x14ac:dyDescent="0.35">
      <c r="A57" t="s">
        <v>206</v>
      </c>
      <c r="B57" t="s">
        <v>183</v>
      </c>
      <c r="C57" t="s">
        <v>103</v>
      </c>
    </row>
    <row r="58" spans="1:3" x14ac:dyDescent="0.35">
      <c r="A58" s="2" t="s">
        <v>105</v>
      </c>
    </row>
    <row r="59" spans="1:3" x14ac:dyDescent="0.35">
      <c r="A59" t="s">
        <v>244</v>
      </c>
      <c r="B59" s="1">
        <v>4522</v>
      </c>
      <c r="C59" s="1">
        <v>3944</v>
      </c>
    </row>
    <row r="60" spans="1:3" x14ac:dyDescent="0.35">
      <c r="A60" t="s">
        <v>34</v>
      </c>
      <c r="B60" s="1">
        <v>100863</v>
      </c>
      <c r="C60" s="1">
        <v>91904</v>
      </c>
    </row>
    <row r="61" spans="1:3" x14ac:dyDescent="0.35">
      <c r="A61" t="s">
        <v>35</v>
      </c>
      <c r="B61" s="1">
        <v>25477</v>
      </c>
      <c r="C61" s="1">
        <v>24449</v>
      </c>
    </row>
    <row r="62" spans="1:3" x14ac:dyDescent="0.35">
      <c r="A62" t="s">
        <v>36</v>
      </c>
      <c r="B62" s="1">
        <v>14794</v>
      </c>
      <c r="C62" s="1">
        <v>13589</v>
      </c>
    </row>
    <row r="63" spans="1:3" x14ac:dyDescent="0.35">
      <c r="A63" t="s">
        <v>37</v>
      </c>
      <c r="B63" s="10">
        <v>8235</v>
      </c>
      <c r="C63" s="10">
        <v>7849</v>
      </c>
    </row>
    <row r="64" spans="1:3" x14ac:dyDescent="0.35">
      <c r="B64" s="1">
        <v>153891</v>
      </c>
      <c r="C64" s="1">
        <v>141735</v>
      </c>
    </row>
    <row r="65" spans="1:3" x14ac:dyDescent="0.35">
      <c r="A65" t="s">
        <v>38</v>
      </c>
      <c r="B65" s="1">
        <v>858</v>
      </c>
      <c r="C65" s="1">
        <v>902</v>
      </c>
    </row>
    <row r="66" spans="1:3" x14ac:dyDescent="0.35">
      <c r="A66" t="s">
        <v>39</v>
      </c>
      <c r="B66" s="1">
        <v>6544</v>
      </c>
      <c r="C66" s="1">
        <v>6546</v>
      </c>
    </row>
    <row r="67" spans="1:3" x14ac:dyDescent="0.35">
      <c r="A67" t="s">
        <v>40</v>
      </c>
      <c r="B67" s="1">
        <v>6827</v>
      </c>
      <c r="C67" s="1">
        <v>7072</v>
      </c>
    </row>
    <row r="68" spans="1:3" x14ac:dyDescent="0.35">
      <c r="A68" t="s">
        <v>41</v>
      </c>
      <c r="B68" s="1">
        <v>2866</v>
      </c>
      <c r="C68" s="1">
        <v>2484</v>
      </c>
    </row>
    <row r="69" spans="1:3" x14ac:dyDescent="0.35">
      <c r="A69" t="s">
        <v>42</v>
      </c>
      <c r="B69" s="1">
        <v>1458</v>
      </c>
      <c r="C69" s="1">
        <v>1486</v>
      </c>
    </row>
    <row r="70" spans="1:3" x14ac:dyDescent="0.35">
      <c r="A70" t="s">
        <v>43</v>
      </c>
      <c r="B70" s="1">
        <v>589</v>
      </c>
      <c r="C70" s="1">
        <v>544</v>
      </c>
    </row>
    <row r="71" spans="1:3" x14ac:dyDescent="0.35">
      <c r="A71" t="s">
        <v>44</v>
      </c>
      <c r="B71" s="1">
        <v>277</v>
      </c>
      <c r="C71" s="1">
        <v>252</v>
      </c>
    </row>
    <row r="72" spans="1:3" x14ac:dyDescent="0.35">
      <c r="A72" t="s">
        <v>45</v>
      </c>
      <c r="B72" s="1">
        <v>3704</v>
      </c>
      <c r="C72" s="1">
        <v>3117</v>
      </c>
    </row>
    <row r="73" spans="1:3" x14ac:dyDescent="0.35">
      <c r="A73" t="s">
        <v>46</v>
      </c>
      <c r="B73" s="1">
        <v>2647</v>
      </c>
      <c r="C73" s="1">
        <v>2344</v>
      </c>
    </row>
    <row r="74" spans="1:3" x14ac:dyDescent="0.35">
      <c r="A74" t="s">
        <v>47</v>
      </c>
      <c r="B74" s="1">
        <v>185</v>
      </c>
      <c r="C74" s="1">
        <v>144</v>
      </c>
    </row>
    <row r="75" spans="1:3" x14ac:dyDescent="0.35">
      <c r="A75" t="s">
        <v>48</v>
      </c>
      <c r="B75" s="1">
        <v>958</v>
      </c>
      <c r="C75" s="1">
        <v>804</v>
      </c>
    </row>
    <row r="76" spans="1:3" x14ac:dyDescent="0.35">
      <c r="A76" t="s">
        <v>49</v>
      </c>
      <c r="B76" s="10">
        <v>280400</v>
      </c>
      <c r="C76" s="10">
        <v>243186</v>
      </c>
    </row>
    <row r="77" spans="1:3" ht="15" thickBot="1" x14ac:dyDescent="0.4">
      <c r="A77" s="2" t="s">
        <v>7</v>
      </c>
      <c r="B77" s="11">
        <v>461204</v>
      </c>
      <c r="C77" s="11">
        <v>410616</v>
      </c>
    </row>
    <row r="78" spans="1:3" ht="15" thickTop="1" x14ac:dyDescent="0.35">
      <c r="A78" s="2"/>
      <c r="B78" s="1"/>
      <c r="C78" s="1"/>
    </row>
    <row r="79" spans="1:3" x14ac:dyDescent="0.35">
      <c r="A79" s="2" t="s">
        <v>50</v>
      </c>
      <c r="B79" s="1"/>
      <c r="C79" s="1"/>
    </row>
    <row r="80" spans="1:3" x14ac:dyDescent="0.35">
      <c r="A80" t="s">
        <v>51</v>
      </c>
      <c r="B80" s="1">
        <v>140310</v>
      </c>
      <c r="C80" s="1">
        <v>129689</v>
      </c>
    </row>
    <row r="81" spans="1:3" x14ac:dyDescent="0.35">
      <c r="A81" t="s">
        <v>52</v>
      </c>
      <c r="B81" s="1">
        <v>4687</v>
      </c>
      <c r="C81" s="1">
        <v>4953</v>
      </c>
    </row>
    <row r="82" spans="1:3" x14ac:dyDescent="0.35">
      <c r="A82" t="s">
        <v>53</v>
      </c>
      <c r="B82" s="1">
        <v>628</v>
      </c>
      <c r="C82" s="1">
        <v>475</v>
      </c>
    </row>
    <row r="83" spans="1:3" x14ac:dyDescent="0.35">
      <c r="A83" t="s">
        <v>245</v>
      </c>
      <c r="B83" s="1">
        <v>807</v>
      </c>
      <c r="C83" s="1">
        <v>748</v>
      </c>
    </row>
    <row r="84" spans="1:3" x14ac:dyDescent="0.35">
      <c r="A84" t="s">
        <v>54</v>
      </c>
      <c r="B84" s="1">
        <v>1000</v>
      </c>
      <c r="C84" s="1">
        <v>1000</v>
      </c>
    </row>
    <row r="85" spans="1:3" x14ac:dyDescent="0.35">
      <c r="A85" t="s">
        <v>42</v>
      </c>
      <c r="B85" s="1">
        <v>2074</v>
      </c>
      <c r="C85" s="1">
        <v>1208</v>
      </c>
    </row>
    <row r="86" spans="1:3" x14ac:dyDescent="0.35">
      <c r="A86" t="s">
        <v>55</v>
      </c>
      <c r="B86" s="1">
        <v>2028</v>
      </c>
      <c r="C86" s="1">
        <v>1672</v>
      </c>
    </row>
    <row r="87" spans="1:3" x14ac:dyDescent="0.35">
      <c r="A87" t="s">
        <v>56</v>
      </c>
      <c r="B87" s="1">
        <v>4534</v>
      </c>
      <c r="C87" s="1">
        <v>4401</v>
      </c>
    </row>
    <row r="88" spans="1:3" x14ac:dyDescent="0.35">
      <c r="A88" t="s">
        <v>47</v>
      </c>
      <c r="B88" s="1">
        <v>227</v>
      </c>
      <c r="C88" s="1">
        <v>97</v>
      </c>
    </row>
    <row r="89" spans="1:3" x14ac:dyDescent="0.35">
      <c r="A89" t="s">
        <v>57</v>
      </c>
      <c r="B89" s="1">
        <v>547</v>
      </c>
      <c r="C89" s="1">
        <v>514</v>
      </c>
    </row>
    <row r="90" spans="1:3" x14ac:dyDescent="0.35">
      <c r="A90" t="s">
        <v>58</v>
      </c>
      <c r="B90" s="1">
        <v>51934</v>
      </c>
      <c r="C90" s="1">
        <v>47410</v>
      </c>
    </row>
    <row r="91" spans="1:3" x14ac:dyDescent="0.35">
      <c r="A91" t="s">
        <v>59</v>
      </c>
      <c r="B91" s="10">
        <v>228466</v>
      </c>
      <c r="C91" s="10">
        <v>195776</v>
      </c>
    </row>
    <row r="92" spans="1:3" x14ac:dyDescent="0.35">
      <c r="A92" s="2" t="s">
        <v>60</v>
      </c>
      <c r="B92" s="1">
        <v>437242</v>
      </c>
      <c r="C92" s="1">
        <v>387943</v>
      </c>
    </row>
    <row r="93" spans="1:3" x14ac:dyDescent="0.35">
      <c r="A93" s="2"/>
      <c r="B93" s="1"/>
      <c r="C93" s="1"/>
    </row>
    <row r="94" spans="1:3" x14ac:dyDescent="0.35">
      <c r="A94" s="2" t="s">
        <v>61</v>
      </c>
      <c r="B94" s="1"/>
      <c r="C94" s="1"/>
    </row>
    <row r="95" spans="1:3" x14ac:dyDescent="0.35">
      <c r="A95" t="s">
        <v>62</v>
      </c>
      <c r="B95" s="1">
        <v>3043</v>
      </c>
      <c r="C95" s="1">
        <v>2844</v>
      </c>
    </row>
    <row r="96" spans="1:3" x14ac:dyDescent="0.35">
      <c r="A96" t="s">
        <v>63</v>
      </c>
      <c r="B96" s="1">
        <v>10</v>
      </c>
      <c r="C96" s="1">
        <v>16</v>
      </c>
    </row>
    <row r="97" spans="1:9" x14ac:dyDescent="0.35">
      <c r="A97" t="s">
        <v>64</v>
      </c>
      <c r="B97" s="1"/>
      <c r="C97" s="1"/>
    </row>
    <row r="98" spans="1:9" x14ac:dyDescent="0.35">
      <c r="A98" t="s">
        <v>65</v>
      </c>
      <c r="B98" s="1"/>
      <c r="C98" s="1"/>
    </row>
    <row r="99" spans="1:9" x14ac:dyDescent="0.35">
      <c r="A99" t="s">
        <v>66</v>
      </c>
      <c r="B99" s="1">
        <v>7995</v>
      </c>
      <c r="C99" s="1">
        <v>7995</v>
      </c>
    </row>
    <row r="100" spans="1:9" x14ac:dyDescent="0.35">
      <c r="A100" t="s">
        <v>67</v>
      </c>
      <c r="B100" s="1">
        <v>11758</v>
      </c>
      <c r="C100" s="1">
        <v>11456</v>
      </c>
    </row>
    <row r="101" spans="1:9" x14ac:dyDescent="0.35">
      <c r="A101" t="s">
        <v>97</v>
      </c>
      <c r="B101" s="1">
        <v>711</v>
      </c>
      <c r="C101" s="1">
        <v>-71</v>
      </c>
    </row>
    <row r="102" spans="1:9" x14ac:dyDescent="0.35">
      <c r="A102" t="s">
        <v>69</v>
      </c>
      <c r="B102" s="1">
        <v>445</v>
      </c>
      <c r="C102" s="1">
        <v>433</v>
      </c>
    </row>
    <row r="103" spans="1:9" x14ac:dyDescent="0.35">
      <c r="A103" s="2" t="s">
        <v>13</v>
      </c>
      <c r="B103" s="10">
        <v>23962</v>
      </c>
      <c r="C103" s="10">
        <v>22673</v>
      </c>
    </row>
    <row r="104" spans="1:9" ht="15" thickBot="1" x14ac:dyDescent="0.4">
      <c r="A104" s="2" t="s">
        <v>70</v>
      </c>
      <c r="B104" s="11">
        <v>461204</v>
      </c>
      <c r="C104" s="11">
        <v>410616</v>
      </c>
    </row>
    <row r="105" spans="1:9" ht="15" thickTop="1" x14ac:dyDescent="0.35"/>
    <row r="107" spans="1:9" x14ac:dyDescent="0.35">
      <c r="A107" t="s">
        <v>210</v>
      </c>
      <c r="B107" t="s">
        <v>65</v>
      </c>
      <c r="C107" t="s">
        <v>69</v>
      </c>
      <c r="D107" t="s">
        <v>67</v>
      </c>
      <c r="E107" t="s">
        <v>222</v>
      </c>
      <c r="F107" t="s">
        <v>225</v>
      </c>
      <c r="G107" t="s">
        <v>10</v>
      </c>
      <c r="H107" t="s">
        <v>9</v>
      </c>
      <c r="I107" t="s">
        <v>13</v>
      </c>
    </row>
    <row r="108" spans="1:9" x14ac:dyDescent="0.35">
      <c r="A108" s="2" t="s">
        <v>166</v>
      </c>
      <c r="B108" s="15">
        <v>7995</v>
      </c>
      <c r="C108" s="15">
        <v>433</v>
      </c>
      <c r="D108" s="15">
        <v>11456</v>
      </c>
      <c r="E108" s="15" t="s">
        <v>98</v>
      </c>
      <c r="F108" s="15">
        <v>19813</v>
      </c>
      <c r="G108" s="15">
        <v>16</v>
      </c>
      <c r="H108" s="15">
        <v>2844</v>
      </c>
      <c r="I108" s="15">
        <v>22673</v>
      </c>
    </row>
    <row r="109" spans="1:9" x14ac:dyDescent="0.35">
      <c r="A109" t="s">
        <v>207</v>
      </c>
      <c r="B109" s="15" t="s">
        <v>22</v>
      </c>
      <c r="C109" s="15" t="s">
        <v>22</v>
      </c>
      <c r="D109" s="15">
        <v>3140</v>
      </c>
      <c r="E109" s="15" t="s">
        <v>22</v>
      </c>
      <c r="F109" s="15">
        <v>3140</v>
      </c>
      <c r="G109" s="15">
        <v>-3</v>
      </c>
      <c r="H109" s="15">
        <v>107</v>
      </c>
      <c r="I109" s="15">
        <v>3244</v>
      </c>
    </row>
    <row r="110" spans="1:9" x14ac:dyDescent="0.35">
      <c r="A110" t="s">
        <v>208</v>
      </c>
      <c r="B110" s="16" t="s">
        <v>22</v>
      </c>
      <c r="C110" s="16" t="s">
        <v>22</v>
      </c>
      <c r="D110" s="16" t="s">
        <v>22</v>
      </c>
      <c r="E110" s="16">
        <v>782</v>
      </c>
      <c r="F110" s="16">
        <v>782</v>
      </c>
      <c r="G110" s="16" t="s">
        <v>22</v>
      </c>
      <c r="H110" s="16">
        <v>92</v>
      </c>
      <c r="I110" s="16">
        <v>874</v>
      </c>
    </row>
    <row r="111" spans="1:9" x14ac:dyDescent="0.35">
      <c r="B111" s="15">
        <v>7995</v>
      </c>
      <c r="C111" s="15">
        <v>433</v>
      </c>
      <c r="D111" s="15">
        <v>14596</v>
      </c>
      <c r="E111" s="15">
        <v>711</v>
      </c>
      <c r="F111" s="15">
        <v>23735</v>
      </c>
      <c r="G111" s="15">
        <v>13</v>
      </c>
      <c r="H111" s="15">
        <v>3043</v>
      </c>
      <c r="I111" s="15">
        <v>26791</v>
      </c>
    </row>
    <row r="112" spans="1:9" x14ac:dyDescent="0.35">
      <c r="A112" t="s">
        <v>190</v>
      </c>
      <c r="B112" s="15" t="s">
        <v>22</v>
      </c>
      <c r="C112" s="15" t="s">
        <v>22</v>
      </c>
      <c r="D112" s="15">
        <v>-2838</v>
      </c>
      <c r="E112" s="15" t="s">
        <v>22</v>
      </c>
      <c r="F112" s="15">
        <v>-2838</v>
      </c>
      <c r="G112" s="15" t="s">
        <v>22</v>
      </c>
      <c r="H112" s="15" t="s">
        <v>22</v>
      </c>
      <c r="I112" s="15">
        <v>-2838</v>
      </c>
    </row>
    <row r="113" spans="1:9" x14ac:dyDescent="0.35">
      <c r="A113" t="s">
        <v>191</v>
      </c>
      <c r="B113" s="15" t="s">
        <v>22</v>
      </c>
      <c r="C113" s="15">
        <v>12</v>
      </c>
      <c r="D113" s="15" t="s">
        <v>22</v>
      </c>
      <c r="E113" s="15" t="s">
        <v>22</v>
      </c>
      <c r="F113" s="15">
        <v>12</v>
      </c>
      <c r="G113" s="15" t="s">
        <v>22</v>
      </c>
      <c r="H113" s="15" t="s">
        <v>22</v>
      </c>
      <c r="I113" s="15">
        <v>12</v>
      </c>
    </row>
    <row r="114" spans="1:9" x14ac:dyDescent="0.35">
      <c r="A114" t="s">
        <v>209</v>
      </c>
      <c r="B114" s="16" t="s">
        <v>22</v>
      </c>
      <c r="C114" s="16" t="s">
        <v>22</v>
      </c>
      <c r="D114" s="16" t="s">
        <v>22</v>
      </c>
      <c r="E114" s="16" t="s">
        <v>22</v>
      </c>
      <c r="F114" s="16" t="s">
        <v>22</v>
      </c>
      <c r="G114" s="16">
        <v>-3</v>
      </c>
      <c r="H114" s="16" t="s">
        <v>22</v>
      </c>
      <c r="I114" s="16">
        <v>-3</v>
      </c>
    </row>
    <row r="115" spans="1:9" ht="15" thickBot="1" x14ac:dyDescent="0.4">
      <c r="A115" s="2" t="s">
        <v>167</v>
      </c>
      <c r="B115" s="17">
        <v>7995</v>
      </c>
      <c r="C115" s="17">
        <v>445</v>
      </c>
      <c r="D115" s="17">
        <v>11758</v>
      </c>
      <c r="E115" s="17">
        <v>711</v>
      </c>
      <c r="F115" s="17">
        <v>20909</v>
      </c>
      <c r="G115" s="17">
        <v>10</v>
      </c>
      <c r="H115" s="17">
        <v>3043</v>
      </c>
      <c r="I115" s="17">
        <v>23962</v>
      </c>
    </row>
    <row r="116" spans="1:9" ht="15" thickTop="1" x14ac:dyDescent="0.35"/>
    <row r="118" spans="1:9" x14ac:dyDescent="0.35">
      <c r="A118" t="s">
        <v>211</v>
      </c>
      <c r="B118" t="s">
        <v>183</v>
      </c>
      <c r="C118" t="s">
        <v>103</v>
      </c>
    </row>
    <row r="119" spans="1:9" x14ac:dyDescent="0.35">
      <c r="A119" s="2" t="s">
        <v>109</v>
      </c>
    </row>
    <row r="120" spans="1:9" x14ac:dyDescent="0.35">
      <c r="A120" t="s">
        <v>27</v>
      </c>
      <c r="B120" s="1">
        <v>3699</v>
      </c>
      <c r="C120" s="1">
        <v>2339</v>
      </c>
    </row>
    <row r="121" spans="1:9" x14ac:dyDescent="0.35">
      <c r="A121" t="s">
        <v>71</v>
      </c>
      <c r="B121" s="1">
        <v>-602</v>
      </c>
      <c r="C121" s="1">
        <v>-360</v>
      </c>
    </row>
    <row r="122" spans="1:9" x14ac:dyDescent="0.35">
      <c r="A122" t="s">
        <v>72</v>
      </c>
      <c r="B122" s="1"/>
      <c r="C122" s="1"/>
    </row>
    <row r="123" spans="1:9" x14ac:dyDescent="0.35">
      <c r="A123" t="s">
        <v>73</v>
      </c>
      <c r="B123" s="1">
        <v>6256</v>
      </c>
      <c r="C123" s="1">
        <v>9242</v>
      </c>
    </row>
    <row r="124" spans="1:9" x14ac:dyDescent="0.35">
      <c r="A124" t="s">
        <v>74</v>
      </c>
      <c r="B124" s="1">
        <v>-326</v>
      </c>
      <c r="C124" s="1">
        <v>289</v>
      </c>
    </row>
    <row r="125" spans="1:9" x14ac:dyDescent="0.35">
      <c r="A125" t="s">
        <v>75</v>
      </c>
      <c r="B125" s="1">
        <v>133</v>
      </c>
      <c r="C125" s="1">
        <v>206</v>
      </c>
    </row>
    <row r="126" spans="1:9" x14ac:dyDescent="0.35">
      <c r="A126" t="s">
        <v>76</v>
      </c>
      <c r="B126" s="1">
        <v>206</v>
      </c>
      <c r="C126" s="1">
        <v>100</v>
      </c>
    </row>
    <row r="127" spans="1:9" x14ac:dyDescent="0.35">
      <c r="A127" t="s">
        <v>77</v>
      </c>
      <c r="B127" s="1">
        <v>58</v>
      </c>
      <c r="C127" s="1">
        <v>-439</v>
      </c>
    </row>
    <row r="128" spans="1:9" x14ac:dyDescent="0.35">
      <c r="A128" t="s">
        <v>78</v>
      </c>
      <c r="B128" s="1">
        <v>-1280</v>
      </c>
      <c r="C128" s="1">
        <v>-4267</v>
      </c>
    </row>
    <row r="129" spans="1:3" x14ac:dyDescent="0.35">
      <c r="A129" t="s">
        <v>79</v>
      </c>
      <c r="B129" s="1">
        <v>31916</v>
      </c>
      <c r="C129" s="1">
        <v>24224</v>
      </c>
    </row>
    <row r="130" spans="1:3" x14ac:dyDescent="0.35">
      <c r="A130" t="s">
        <v>80</v>
      </c>
      <c r="B130" s="1">
        <v>-35642</v>
      </c>
      <c r="C130" s="1">
        <v>-27299</v>
      </c>
    </row>
    <row r="131" spans="1:3" x14ac:dyDescent="0.35">
      <c r="A131" t="s">
        <v>81</v>
      </c>
      <c r="B131" s="10">
        <v>-1071</v>
      </c>
      <c r="C131" s="10">
        <v>-199</v>
      </c>
    </row>
    <row r="132" spans="1:3" x14ac:dyDescent="0.35">
      <c r="B132" s="1">
        <v>3347</v>
      </c>
      <c r="C132" s="1">
        <v>3836</v>
      </c>
    </row>
    <row r="133" spans="1:3" x14ac:dyDescent="0.35">
      <c r="A133" s="2" t="s">
        <v>82</v>
      </c>
      <c r="B133" s="1"/>
      <c r="C133" s="1"/>
    </row>
    <row r="134" spans="1:3" x14ac:dyDescent="0.35">
      <c r="A134" t="s">
        <v>83</v>
      </c>
      <c r="B134" s="1">
        <v>-2838</v>
      </c>
      <c r="C134" s="1">
        <v>-2934</v>
      </c>
    </row>
    <row r="135" spans="1:3" x14ac:dyDescent="0.35">
      <c r="B135" s="1"/>
      <c r="C135" s="1"/>
    </row>
    <row r="136" spans="1:3" x14ac:dyDescent="0.35">
      <c r="A136" s="2" t="s">
        <v>84</v>
      </c>
      <c r="B136" s="1"/>
      <c r="C136" s="1"/>
    </row>
    <row r="137" spans="1:3" x14ac:dyDescent="0.35">
      <c r="A137" t="s">
        <v>85</v>
      </c>
      <c r="B137" s="1">
        <v>-103</v>
      </c>
      <c r="C137" s="1">
        <v>-185</v>
      </c>
    </row>
    <row r="138" spans="1:3" x14ac:dyDescent="0.35">
      <c r="A138" t="s">
        <v>110</v>
      </c>
      <c r="B138" s="10" t="s">
        <v>22</v>
      </c>
      <c r="C138" s="10">
        <v>-560</v>
      </c>
    </row>
    <row r="139" spans="1:3" x14ac:dyDescent="0.35">
      <c r="B139" s="1">
        <v>-103</v>
      </c>
      <c r="C139" s="1">
        <v>-745</v>
      </c>
    </row>
    <row r="140" spans="1:3" x14ac:dyDescent="0.35">
      <c r="A140" t="s">
        <v>99</v>
      </c>
      <c r="B140" s="1">
        <v>172</v>
      </c>
      <c r="C140" s="1">
        <v>26</v>
      </c>
    </row>
    <row r="141" spans="1:3" x14ac:dyDescent="0.35">
      <c r="A141" s="2" t="s">
        <v>100</v>
      </c>
      <c r="B141" s="1">
        <v>578</v>
      </c>
      <c r="C141" s="1">
        <v>183</v>
      </c>
    </row>
    <row r="142" spans="1:3" x14ac:dyDescent="0.35">
      <c r="A142" s="2" t="s">
        <v>88</v>
      </c>
      <c r="B142" s="10">
        <v>3944</v>
      </c>
      <c r="C142" s="10">
        <v>3761</v>
      </c>
    </row>
    <row r="143" spans="1:3" ht="15" thickBot="1" x14ac:dyDescent="0.4">
      <c r="A143" s="2" t="s">
        <v>89</v>
      </c>
      <c r="B143" s="11">
        <v>4522</v>
      </c>
      <c r="C143" s="11">
        <v>3944</v>
      </c>
    </row>
    <row r="144" spans="1:3" ht="15" thickTop="1" x14ac:dyDescent="0.35">
      <c r="A144" s="2" t="s">
        <v>90</v>
      </c>
      <c r="B144" s="1"/>
      <c r="C144" s="1"/>
    </row>
    <row r="145" spans="1:3" x14ac:dyDescent="0.35">
      <c r="A145" t="s">
        <v>91</v>
      </c>
      <c r="B145" s="1">
        <v>4675</v>
      </c>
      <c r="C145" s="1">
        <v>4210</v>
      </c>
    </row>
    <row r="146" spans="1:3" x14ac:dyDescent="0.35">
      <c r="A146" t="s">
        <v>92</v>
      </c>
      <c r="B146" s="1">
        <v>112</v>
      </c>
      <c r="C146" s="1">
        <v>112</v>
      </c>
    </row>
    <row r="147" spans="1:3" x14ac:dyDescent="0.35">
      <c r="A147" t="s">
        <v>93</v>
      </c>
      <c r="B147" s="1">
        <v>417</v>
      </c>
      <c r="C147" s="1">
        <v>400</v>
      </c>
    </row>
  </sheetData>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FCCA5-6A49-401B-BED9-DFFF76193E09}">
  <dimension ref="A2:I152"/>
  <sheetViews>
    <sheetView workbookViewId="0">
      <selection activeCell="C22" sqref="C22"/>
    </sheetView>
  </sheetViews>
  <sheetFormatPr defaultRowHeight="14.5" x14ac:dyDescent="0.35"/>
  <cols>
    <col min="1" max="1" width="75.26953125" bestFit="1" customWidth="1"/>
    <col min="2" max="2" width="14.08984375" bestFit="1" customWidth="1"/>
    <col min="3" max="3" width="20" bestFit="1" customWidth="1"/>
    <col min="4" max="4" width="21.08984375" bestFit="1" customWidth="1"/>
    <col min="5" max="5" width="44.6328125" bestFit="1" customWidth="1"/>
    <col min="6" max="6" width="24.81640625" bestFit="1" customWidth="1"/>
    <col min="7" max="7" width="24.08984375" bestFit="1" customWidth="1"/>
    <col min="8" max="8" width="28" bestFit="1" customWidth="1"/>
    <col min="9" max="9" width="12.81640625" bestFit="1" customWidth="1"/>
    <col min="10" max="15" width="11.7265625" bestFit="1" customWidth="1"/>
  </cols>
  <sheetData>
    <row r="2" spans="1:3" x14ac:dyDescent="0.35">
      <c r="A2" t="s">
        <v>212</v>
      </c>
      <c r="B2" t="s">
        <v>103</v>
      </c>
      <c r="C2" t="s">
        <v>104</v>
      </c>
    </row>
    <row r="3" spans="1:3" x14ac:dyDescent="0.35">
      <c r="A3" s="2" t="s">
        <v>0</v>
      </c>
      <c r="B3" s="1"/>
      <c r="C3" s="1"/>
    </row>
    <row r="4" spans="1:3" x14ac:dyDescent="0.35">
      <c r="A4" t="s">
        <v>1</v>
      </c>
      <c r="B4" s="1">
        <v>24</v>
      </c>
      <c r="C4" s="1">
        <v>-91</v>
      </c>
    </row>
    <row r="5" spans="1:3" x14ac:dyDescent="0.35">
      <c r="A5" t="s">
        <v>2</v>
      </c>
      <c r="B5" s="10">
        <v>2394</v>
      </c>
      <c r="C5" s="10">
        <v>3377</v>
      </c>
    </row>
    <row r="6" spans="1:3" x14ac:dyDescent="0.35">
      <c r="A6" s="14" t="s">
        <v>3</v>
      </c>
      <c r="B6" s="10">
        <v>2418</v>
      </c>
      <c r="C6" s="10">
        <v>3286</v>
      </c>
    </row>
    <row r="7" spans="1:3" x14ac:dyDescent="0.35">
      <c r="A7" s="2"/>
      <c r="B7" s="1"/>
      <c r="C7" s="1"/>
    </row>
    <row r="8" spans="1:3" x14ac:dyDescent="0.35">
      <c r="A8" s="2" t="s">
        <v>4</v>
      </c>
      <c r="B8" s="1">
        <v>3002</v>
      </c>
      <c r="C8" s="1">
        <v>2766</v>
      </c>
    </row>
    <row r="9" spans="1:3" x14ac:dyDescent="0.35">
      <c r="A9" s="2" t="s">
        <v>5</v>
      </c>
      <c r="B9" s="1">
        <v>200</v>
      </c>
      <c r="C9" s="1">
        <v>1464</v>
      </c>
    </row>
    <row r="10" spans="1:3" x14ac:dyDescent="0.35">
      <c r="A10" s="14" t="s">
        <v>6</v>
      </c>
      <c r="B10" s="10">
        <v>2163</v>
      </c>
      <c r="C10" s="10">
        <v>1932</v>
      </c>
    </row>
    <row r="11" spans="1:3" x14ac:dyDescent="0.35">
      <c r="A11" s="2"/>
      <c r="B11" s="1"/>
      <c r="C11" s="1"/>
    </row>
    <row r="12" spans="1:3" x14ac:dyDescent="0.35">
      <c r="A12" s="2" t="s">
        <v>7</v>
      </c>
      <c r="B12" s="1">
        <v>410616</v>
      </c>
      <c r="C12" s="1">
        <v>378654</v>
      </c>
    </row>
    <row r="13" spans="1:3" x14ac:dyDescent="0.35">
      <c r="A13" s="2" t="s">
        <v>94</v>
      </c>
      <c r="B13" s="1">
        <v>499941</v>
      </c>
      <c r="C13" s="1">
        <v>444064</v>
      </c>
    </row>
    <row r="14" spans="1:3" x14ac:dyDescent="0.35">
      <c r="A14" s="2" t="s">
        <v>203</v>
      </c>
      <c r="B14" s="1">
        <v>567652</v>
      </c>
      <c r="C14" s="1">
        <v>481753</v>
      </c>
    </row>
    <row r="15" spans="1:3" x14ac:dyDescent="0.35">
      <c r="A15" s="2" t="s">
        <v>8</v>
      </c>
      <c r="B15" s="1">
        <v>12458</v>
      </c>
      <c r="C15" s="1">
        <v>12496</v>
      </c>
    </row>
    <row r="16" spans="1:3" x14ac:dyDescent="0.35">
      <c r="A16" s="2"/>
      <c r="B16" s="1"/>
      <c r="C16" s="1"/>
    </row>
    <row r="17" spans="1:3" x14ac:dyDescent="0.35">
      <c r="A17" t="s">
        <v>9</v>
      </c>
      <c r="B17" s="1">
        <v>2844</v>
      </c>
      <c r="C17" s="1">
        <v>2733</v>
      </c>
    </row>
    <row r="18" spans="1:3" x14ac:dyDescent="0.35">
      <c r="A18" t="s">
        <v>10</v>
      </c>
      <c r="B18" s="1">
        <v>16</v>
      </c>
      <c r="C18" s="1">
        <v>51</v>
      </c>
    </row>
    <row r="19" spans="1:3" x14ac:dyDescent="0.35">
      <c r="A19" t="s">
        <v>12</v>
      </c>
      <c r="B19" s="1">
        <v>19813</v>
      </c>
      <c r="C19" s="1">
        <v>20004</v>
      </c>
    </row>
    <row r="20" spans="1:3" x14ac:dyDescent="0.35">
      <c r="A20" s="2" t="s">
        <v>13</v>
      </c>
      <c r="B20" s="1">
        <v>22673</v>
      </c>
      <c r="C20" s="1">
        <v>22788</v>
      </c>
    </row>
    <row r="21" spans="1:3" x14ac:dyDescent="0.35">
      <c r="A21" s="19" t="s">
        <v>204</v>
      </c>
      <c r="B21" s="20">
        <v>1.28</v>
      </c>
      <c r="C21" s="20">
        <f>'CL 2022 (Original)'!B26</f>
        <v>1.2</v>
      </c>
    </row>
    <row r="23" spans="1:3" x14ac:dyDescent="0.35">
      <c r="A23" t="s">
        <v>213</v>
      </c>
      <c r="B23" t="s">
        <v>103</v>
      </c>
      <c r="C23" t="s">
        <v>104</v>
      </c>
    </row>
    <row r="24" spans="1:3" x14ac:dyDescent="0.35">
      <c r="C24" t="s">
        <v>101</v>
      </c>
    </row>
    <row r="25" spans="1:3" x14ac:dyDescent="0.35">
      <c r="A25" s="2" t="s">
        <v>4</v>
      </c>
    </row>
    <row r="26" spans="1:3" x14ac:dyDescent="0.35">
      <c r="A26" t="s">
        <v>240</v>
      </c>
      <c r="B26" s="1">
        <v>20188</v>
      </c>
      <c r="C26" s="1">
        <v>19424</v>
      </c>
    </row>
    <row r="27" spans="1:3" x14ac:dyDescent="0.35">
      <c r="A27" t="s">
        <v>242</v>
      </c>
      <c r="B27" s="1">
        <v>-15622</v>
      </c>
      <c r="C27" s="1">
        <v>-15110</v>
      </c>
    </row>
    <row r="28" spans="1:3" x14ac:dyDescent="0.35">
      <c r="A28" t="s">
        <v>14</v>
      </c>
      <c r="B28" s="10">
        <v>-1564</v>
      </c>
      <c r="C28" s="10">
        <v>-1548</v>
      </c>
    </row>
    <row r="29" spans="1:3" x14ac:dyDescent="0.35">
      <c r="B29" s="12">
        <v>3002</v>
      </c>
      <c r="C29" s="12">
        <v>2766</v>
      </c>
    </row>
    <row r="30" spans="1:3" x14ac:dyDescent="0.35">
      <c r="A30" s="2" t="s">
        <v>15</v>
      </c>
      <c r="B30" s="1"/>
      <c r="C30" s="1"/>
    </row>
    <row r="31" spans="1:3" x14ac:dyDescent="0.35">
      <c r="A31" t="s">
        <v>16</v>
      </c>
      <c r="B31" s="1">
        <v>4877</v>
      </c>
      <c r="C31" s="1">
        <v>4599</v>
      </c>
    </row>
    <row r="32" spans="1:3" x14ac:dyDescent="0.35">
      <c r="A32" t="s">
        <v>17</v>
      </c>
      <c r="B32" s="10">
        <v>4267</v>
      </c>
      <c r="C32" s="10">
        <v>-20289</v>
      </c>
    </row>
    <row r="33" spans="1:3" x14ac:dyDescent="0.35">
      <c r="B33" s="1">
        <v>9144</v>
      </c>
      <c r="C33" s="1">
        <v>-15690</v>
      </c>
    </row>
    <row r="34" spans="1:3" x14ac:dyDescent="0.35">
      <c r="A34" t="s">
        <v>18</v>
      </c>
      <c r="B34" s="1">
        <v>-9032</v>
      </c>
      <c r="C34" s="1">
        <v>18201</v>
      </c>
    </row>
    <row r="35" spans="1:3" x14ac:dyDescent="0.35">
      <c r="A35" t="s">
        <v>19</v>
      </c>
      <c r="B35" s="1">
        <v>266</v>
      </c>
      <c r="C35" s="1">
        <v>-1261</v>
      </c>
    </row>
    <row r="36" spans="1:3" x14ac:dyDescent="0.35">
      <c r="A36" t="s">
        <v>20</v>
      </c>
      <c r="B36" s="1">
        <v>-178</v>
      </c>
      <c r="C36" s="1">
        <v>214</v>
      </c>
    </row>
    <row r="37" spans="1:3" x14ac:dyDescent="0.35">
      <c r="B37" s="1">
        <v>200</v>
      </c>
      <c r="C37" s="1">
        <v>1464</v>
      </c>
    </row>
    <row r="38" spans="1:3" x14ac:dyDescent="0.35">
      <c r="A38" s="2" t="s">
        <v>21</v>
      </c>
      <c r="B38" s="1"/>
      <c r="C38" s="1"/>
    </row>
    <row r="39" spans="1:3" x14ac:dyDescent="0.35">
      <c r="A39" t="s">
        <v>95</v>
      </c>
      <c r="B39" s="1">
        <v>4808</v>
      </c>
      <c r="C39" s="1">
        <v>-4130</v>
      </c>
    </row>
    <row r="40" spans="1:3" x14ac:dyDescent="0.35">
      <c r="A40" t="s">
        <v>18</v>
      </c>
      <c r="B40" s="10">
        <v>-4808</v>
      </c>
      <c r="C40" s="10">
        <v>4130</v>
      </c>
    </row>
    <row r="41" spans="1:3" x14ac:dyDescent="0.35">
      <c r="B41" s="12" t="s">
        <v>22</v>
      </c>
      <c r="C41" s="12" t="s">
        <v>22</v>
      </c>
    </row>
    <row r="42" spans="1:3" x14ac:dyDescent="0.35">
      <c r="A42" s="2" t="s">
        <v>23</v>
      </c>
      <c r="B42" s="1"/>
      <c r="C42" s="1"/>
    </row>
    <row r="43" spans="1:3" x14ac:dyDescent="0.35">
      <c r="A43" t="s">
        <v>6</v>
      </c>
      <c r="B43" s="1">
        <v>2163</v>
      </c>
      <c r="C43" s="1">
        <v>1932</v>
      </c>
    </row>
    <row r="44" spans="1:3" x14ac:dyDescent="0.35">
      <c r="A44" t="s">
        <v>243</v>
      </c>
      <c r="B44" s="1">
        <v>-2635</v>
      </c>
      <c r="C44" s="1">
        <v>-2221</v>
      </c>
    </row>
    <row r="45" spans="1:3" x14ac:dyDescent="0.35">
      <c r="A45" t="s">
        <v>24</v>
      </c>
      <c r="B45" s="1">
        <v>-160</v>
      </c>
      <c r="C45" s="1">
        <v>-173</v>
      </c>
    </row>
    <row r="46" spans="1:3" x14ac:dyDescent="0.35">
      <c r="A46" t="s">
        <v>25</v>
      </c>
      <c r="B46" s="1">
        <v>-105</v>
      </c>
      <c r="C46" s="1">
        <v>-104</v>
      </c>
    </row>
    <row r="47" spans="1:3" x14ac:dyDescent="0.35">
      <c r="A47" t="s">
        <v>96</v>
      </c>
      <c r="B47" s="10">
        <v>-126</v>
      </c>
      <c r="C47" s="10" t="s">
        <v>22</v>
      </c>
    </row>
    <row r="48" spans="1:3" x14ac:dyDescent="0.35">
      <c r="A48" s="2" t="s">
        <v>27</v>
      </c>
      <c r="B48" s="1">
        <v>2339</v>
      </c>
      <c r="C48" s="1">
        <v>3664</v>
      </c>
    </row>
    <row r="49" spans="1:4" x14ac:dyDescent="0.35">
      <c r="A49" t="s">
        <v>28</v>
      </c>
      <c r="B49" s="1">
        <v>-80</v>
      </c>
      <c r="C49" s="1">
        <v>375</v>
      </c>
    </row>
    <row r="50" spans="1:4" x14ac:dyDescent="0.35">
      <c r="A50" s="2" t="s">
        <v>29</v>
      </c>
      <c r="B50" s="1">
        <v>2419</v>
      </c>
      <c r="C50" s="1">
        <v>3289</v>
      </c>
    </row>
    <row r="51" spans="1:4" x14ac:dyDescent="0.35">
      <c r="A51" t="s">
        <v>30</v>
      </c>
      <c r="B51" s="10">
        <v>1</v>
      </c>
      <c r="C51" s="10">
        <v>3</v>
      </c>
    </row>
    <row r="52" spans="1:4" x14ac:dyDescent="0.35">
      <c r="A52" s="2" t="s">
        <v>3</v>
      </c>
      <c r="B52" s="1">
        <v>2418</v>
      </c>
      <c r="C52" s="1">
        <v>3286</v>
      </c>
    </row>
    <row r="53" spans="1:4" x14ac:dyDescent="0.35">
      <c r="A53" t="s">
        <v>102</v>
      </c>
      <c r="B53" s="10">
        <v>24</v>
      </c>
      <c r="C53" s="10">
        <v>-91</v>
      </c>
    </row>
    <row r="54" spans="1:4" ht="15" thickBot="1" x14ac:dyDescent="0.4">
      <c r="A54" s="2" t="s">
        <v>32</v>
      </c>
      <c r="B54" s="11">
        <v>2394</v>
      </c>
      <c r="C54" s="11">
        <v>3377</v>
      </c>
    </row>
    <row r="55" spans="1:4" ht="15" thickTop="1" x14ac:dyDescent="0.35"/>
    <row r="57" spans="1:4" x14ac:dyDescent="0.35">
      <c r="A57" t="s">
        <v>214</v>
      </c>
      <c r="B57" t="s">
        <v>103</v>
      </c>
      <c r="C57" t="s">
        <v>104</v>
      </c>
      <c r="D57" t="s">
        <v>215</v>
      </c>
    </row>
    <row r="58" spans="1:4" x14ac:dyDescent="0.35">
      <c r="C58" t="s">
        <v>101</v>
      </c>
      <c r="D58" t="s">
        <v>101</v>
      </c>
    </row>
    <row r="59" spans="1:4" x14ac:dyDescent="0.35">
      <c r="A59" s="2" t="s">
        <v>105</v>
      </c>
    </row>
    <row r="60" spans="1:4" x14ac:dyDescent="0.35">
      <c r="A60" t="s">
        <v>244</v>
      </c>
      <c r="B60" s="1">
        <v>3944</v>
      </c>
      <c r="C60" s="1">
        <v>3761</v>
      </c>
      <c r="D60" s="1">
        <v>3271</v>
      </c>
    </row>
    <row r="61" spans="1:4" x14ac:dyDescent="0.35">
      <c r="A61" t="s">
        <v>34</v>
      </c>
      <c r="B61" s="1">
        <v>91904</v>
      </c>
      <c r="C61" s="1">
        <v>85947</v>
      </c>
      <c r="D61" s="1">
        <v>103172</v>
      </c>
    </row>
    <row r="62" spans="1:4" x14ac:dyDescent="0.35">
      <c r="A62" t="s">
        <v>35</v>
      </c>
      <c r="B62" s="1">
        <v>24449</v>
      </c>
      <c r="C62" s="1">
        <v>22843</v>
      </c>
      <c r="D62" s="1">
        <v>23540</v>
      </c>
    </row>
    <row r="63" spans="1:4" x14ac:dyDescent="0.35">
      <c r="A63" t="s">
        <v>36</v>
      </c>
      <c r="B63" s="1">
        <v>13589</v>
      </c>
      <c r="C63" s="1">
        <v>12679</v>
      </c>
      <c r="D63" s="1">
        <v>13268</v>
      </c>
    </row>
    <row r="64" spans="1:4" x14ac:dyDescent="0.35">
      <c r="A64" t="s">
        <v>37</v>
      </c>
      <c r="B64" s="10">
        <v>7849</v>
      </c>
      <c r="C64" s="10">
        <v>8315</v>
      </c>
      <c r="D64" s="10">
        <v>7759</v>
      </c>
    </row>
    <row r="65" spans="1:4" x14ac:dyDescent="0.35">
      <c r="B65" s="1">
        <v>141735</v>
      </c>
      <c r="C65" s="1">
        <v>133545</v>
      </c>
      <c r="D65" s="1">
        <v>151010</v>
      </c>
    </row>
    <row r="67" spans="1:4" x14ac:dyDescent="0.35">
      <c r="A67" t="s">
        <v>38</v>
      </c>
      <c r="B67" s="1">
        <v>902</v>
      </c>
      <c r="C67" s="1">
        <v>886</v>
      </c>
      <c r="D67" s="1">
        <v>1311</v>
      </c>
    </row>
    <row r="68" spans="1:4" x14ac:dyDescent="0.35">
      <c r="A68" t="s">
        <v>39</v>
      </c>
      <c r="B68" s="1">
        <v>6546</v>
      </c>
      <c r="C68" s="1">
        <v>6709</v>
      </c>
      <c r="D68" s="1">
        <v>9056</v>
      </c>
    </row>
    <row r="69" spans="1:4" x14ac:dyDescent="0.35">
      <c r="A69" t="s">
        <v>40</v>
      </c>
      <c r="B69" s="1">
        <v>7072</v>
      </c>
      <c r="C69" s="1">
        <v>6372</v>
      </c>
      <c r="D69" s="1">
        <v>6408</v>
      </c>
    </row>
    <row r="70" spans="1:4" x14ac:dyDescent="0.35">
      <c r="A70" t="s">
        <v>41</v>
      </c>
      <c r="B70" s="1">
        <v>2484</v>
      </c>
      <c r="C70" s="1">
        <v>2470</v>
      </c>
      <c r="D70" s="1">
        <v>2362</v>
      </c>
    </row>
    <row r="71" spans="1:4" x14ac:dyDescent="0.35">
      <c r="A71" t="s">
        <v>42</v>
      </c>
      <c r="B71" s="1">
        <v>1486</v>
      </c>
      <c r="C71" s="1">
        <v>1120</v>
      </c>
      <c r="D71" s="1">
        <v>582</v>
      </c>
    </row>
    <row r="72" spans="1:4" x14ac:dyDescent="0.35">
      <c r="A72" t="s">
        <v>43</v>
      </c>
      <c r="B72" s="1">
        <v>544</v>
      </c>
      <c r="C72" s="1">
        <v>532</v>
      </c>
      <c r="D72" s="1">
        <v>552</v>
      </c>
    </row>
    <row r="73" spans="1:4" x14ac:dyDescent="0.35">
      <c r="A73" t="s">
        <v>44</v>
      </c>
      <c r="B73" s="1">
        <v>252</v>
      </c>
      <c r="C73" s="1">
        <v>257</v>
      </c>
      <c r="D73" s="1">
        <v>288</v>
      </c>
    </row>
    <row r="74" spans="1:4" x14ac:dyDescent="0.35">
      <c r="A74" t="s">
        <v>45</v>
      </c>
      <c r="B74" s="1">
        <v>3117</v>
      </c>
      <c r="C74" s="1">
        <v>2312</v>
      </c>
      <c r="D74" s="1">
        <v>2064</v>
      </c>
    </row>
    <row r="75" spans="1:4" x14ac:dyDescent="0.35">
      <c r="A75" t="s">
        <v>46</v>
      </c>
      <c r="B75" s="1">
        <v>2344</v>
      </c>
      <c r="C75" s="1">
        <v>2108</v>
      </c>
      <c r="D75" s="1">
        <v>1836</v>
      </c>
    </row>
    <row r="76" spans="1:4" x14ac:dyDescent="0.35">
      <c r="A76" t="s">
        <v>47</v>
      </c>
      <c r="B76" s="1">
        <v>144</v>
      </c>
      <c r="C76" s="1">
        <v>256</v>
      </c>
      <c r="D76" s="1">
        <v>242</v>
      </c>
    </row>
    <row r="77" spans="1:4" x14ac:dyDescent="0.35">
      <c r="A77" t="s">
        <v>48</v>
      </c>
      <c r="B77" s="1">
        <v>804</v>
      </c>
      <c r="C77" s="1">
        <v>479</v>
      </c>
      <c r="D77" s="1">
        <v>478</v>
      </c>
    </row>
    <row r="78" spans="1:4" x14ac:dyDescent="0.35">
      <c r="A78" t="s">
        <v>49</v>
      </c>
      <c r="B78" s="10">
        <v>243186</v>
      </c>
      <c r="C78" s="10">
        <v>221608</v>
      </c>
      <c r="D78" s="10">
        <v>240500</v>
      </c>
    </row>
    <row r="79" spans="1:4" ht="15" thickBot="1" x14ac:dyDescent="0.4">
      <c r="A79" s="2" t="s">
        <v>7</v>
      </c>
      <c r="B79" s="11">
        <v>410616</v>
      </c>
      <c r="C79" s="11">
        <v>378654</v>
      </c>
      <c r="D79" s="11">
        <v>416689</v>
      </c>
    </row>
    <row r="80" spans="1:4" ht="15" thickTop="1" x14ac:dyDescent="0.35">
      <c r="A80" s="2"/>
    </row>
    <row r="81" spans="1:4" x14ac:dyDescent="0.35">
      <c r="A81" s="2" t="s">
        <v>50</v>
      </c>
      <c r="B81" s="1"/>
      <c r="C81" s="1"/>
      <c r="D81" s="1"/>
    </row>
    <row r="82" spans="1:4" x14ac:dyDescent="0.35">
      <c r="A82" t="s">
        <v>51</v>
      </c>
      <c r="B82" s="1">
        <v>129689</v>
      </c>
      <c r="C82" s="1">
        <v>120503</v>
      </c>
      <c r="D82" s="1">
        <v>140639</v>
      </c>
    </row>
    <row r="83" spans="1:4" x14ac:dyDescent="0.35">
      <c r="A83" t="s">
        <v>52</v>
      </c>
      <c r="B83" s="1">
        <v>4953</v>
      </c>
      <c r="C83" s="1">
        <v>4672</v>
      </c>
      <c r="D83" s="1">
        <v>4520</v>
      </c>
    </row>
    <row r="84" spans="1:4" x14ac:dyDescent="0.35">
      <c r="A84" t="s">
        <v>53</v>
      </c>
      <c r="B84" s="1">
        <v>475</v>
      </c>
      <c r="C84" s="1">
        <v>326</v>
      </c>
      <c r="D84" s="1">
        <v>986</v>
      </c>
    </row>
    <row r="85" spans="1:4" x14ac:dyDescent="0.35">
      <c r="A85" t="s">
        <v>245</v>
      </c>
      <c r="B85" s="1">
        <v>748</v>
      </c>
      <c r="C85" s="1">
        <v>747</v>
      </c>
      <c r="D85" s="1">
        <v>745</v>
      </c>
    </row>
    <row r="86" spans="1:4" x14ac:dyDescent="0.35">
      <c r="A86" t="s">
        <v>54</v>
      </c>
      <c r="B86" s="1">
        <v>1000</v>
      </c>
      <c r="C86" s="1">
        <v>1000</v>
      </c>
      <c r="D86" s="1">
        <v>1000</v>
      </c>
    </row>
    <row r="87" spans="1:4" x14ac:dyDescent="0.35">
      <c r="A87" t="s">
        <v>42</v>
      </c>
      <c r="B87" s="1">
        <v>1208</v>
      </c>
      <c r="C87" s="1">
        <v>1575</v>
      </c>
      <c r="D87" s="1">
        <v>1005</v>
      </c>
    </row>
    <row r="88" spans="1:4" x14ac:dyDescent="0.35">
      <c r="A88" t="s">
        <v>55</v>
      </c>
      <c r="B88" s="1">
        <v>1672</v>
      </c>
      <c r="C88" s="1">
        <v>1612</v>
      </c>
      <c r="D88" s="1">
        <v>1385</v>
      </c>
    </row>
    <row r="89" spans="1:4" x14ac:dyDescent="0.35">
      <c r="A89" t="s">
        <v>56</v>
      </c>
      <c r="B89" s="1">
        <v>4401</v>
      </c>
      <c r="C89" s="1">
        <v>3070</v>
      </c>
      <c r="D89" s="1">
        <v>3400</v>
      </c>
    </row>
    <row r="90" spans="1:4" x14ac:dyDescent="0.35">
      <c r="A90" t="s">
        <v>47</v>
      </c>
      <c r="B90" s="1">
        <v>97</v>
      </c>
      <c r="C90" s="1">
        <v>52</v>
      </c>
      <c r="D90" s="1">
        <v>160</v>
      </c>
    </row>
    <row r="91" spans="1:4" x14ac:dyDescent="0.35">
      <c r="A91" t="s">
        <v>57</v>
      </c>
      <c r="B91" s="1">
        <v>514</v>
      </c>
      <c r="C91" s="1">
        <v>701</v>
      </c>
      <c r="D91" s="1">
        <v>619</v>
      </c>
    </row>
    <row r="92" spans="1:4" x14ac:dyDescent="0.35">
      <c r="A92" t="s">
        <v>58</v>
      </c>
      <c r="B92" s="1">
        <v>47410</v>
      </c>
      <c r="C92" s="1">
        <v>45409</v>
      </c>
      <c r="D92" s="1">
        <v>50831</v>
      </c>
    </row>
    <row r="93" spans="1:4" x14ac:dyDescent="0.35">
      <c r="A93" t="s">
        <v>59</v>
      </c>
      <c r="B93" s="10">
        <v>195776</v>
      </c>
      <c r="C93" s="10">
        <v>176199</v>
      </c>
      <c r="D93" s="10">
        <v>189669</v>
      </c>
    </row>
    <row r="94" spans="1:4" x14ac:dyDescent="0.35">
      <c r="A94" s="2" t="s">
        <v>60</v>
      </c>
      <c r="B94" s="1">
        <v>387943</v>
      </c>
      <c r="C94" s="1">
        <v>355866</v>
      </c>
      <c r="D94" s="1">
        <v>394959</v>
      </c>
    </row>
    <row r="95" spans="1:4" x14ac:dyDescent="0.35">
      <c r="A95" s="2" t="s">
        <v>61</v>
      </c>
      <c r="B95" s="1"/>
      <c r="C95" s="1"/>
      <c r="D95" s="1"/>
    </row>
    <row r="96" spans="1:4" x14ac:dyDescent="0.35">
      <c r="A96" t="s">
        <v>62</v>
      </c>
      <c r="B96" s="1">
        <v>2844</v>
      </c>
      <c r="C96" s="1">
        <v>2733</v>
      </c>
      <c r="D96" s="1">
        <v>2985</v>
      </c>
    </row>
    <row r="97" spans="1:9" x14ac:dyDescent="0.35">
      <c r="A97" t="s">
        <v>63</v>
      </c>
      <c r="B97" s="1">
        <v>16</v>
      </c>
      <c r="C97" s="1">
        <v>51</v>
      </c>
      <c r="D97" s="1">
        <v>26</v>
      </c>
    </row>
    <row r="98" spans="1:9" x14ac:dyDescent="0.35">
      <c r="A98" t="s">
        <v>106</v>
      </c>
      <c r="B98" s="1"/>
      <c r="C98" s="1"/>
      <c r="D98" s="1"/>
    </row>
    <row r="99" spans="1:9" x14ac:dyDescent="0.35">
      <c r="A99" t="s">
        <v>65</v>
      </c>
      <c r="B99" s="1"/>
      <c r="C99" s="1"/>
      <c r="D99" s="1"/>
    </row>
    <row r="100" spans="1:9" x14ac:dyDescent="0.35">
      <c r="A100" t="s">
        <v>66</v>
      </c>
      <c r="B100" s="1">
        <v>7995</v>
      </c>
      <c r="C100" s="1">
        <v>7884</v>
      </c>
      <c r="D100" s="1">
        <v>7884</v>
      </c>
    </row>
    <row r="101" spans="1:9" x14ac:dyDescent="0.35">
      <c r="A101" t="s">
        <v>67</v>
      </c>
      <c r="B101" s="1">
        <v>11456</v>
      </c>
      <c r="C101" s="1">
        <v>12054</v>
      </c>
      <c r="D101" s="1">
        <v>10439</v>
      </c>
    </row>
    <row r="102" spans="1:9" x14ac:dyDescent="0.35">
      <c r="A102" t="s">
        <v>107</v>
      </c>
      <c r="B102" s="1">
        <v>-71</v>
      </c>
      <c r="C102" s="1">
        <v>-359</v>
      </c>
      <c r="D102" s="1">
        <v>-23</v>
      </c>
    </row>
    <row r="103" spans="1:9" x14ac:dyDescent="0.35">
      <c r="A103" t="s">
        <v>69</v>
      </c>
      <c r="B103" s="10">
        <v>433</v>
      </c>
      <c r="C103" s="10">
        <v>425</v>
      </c>
      <c r="D103" s="10">
        <v>419</v>
      </c>
    </row>
    <row r="104" spans="1:9" x14ac:dyDescent="0.35">
      <c r="A104" s="2" t="s">
        <v>13</v>
      </c>
      <c r="B104" s="12">
        <v>22673</v>
      </c>
      <c r="C104" s="12">
        <v>22788</v>
      </c>
      <c r="D104" s="12">
        <v>21730</v>
      </c>
    </row>
    <row r="105" spans="1:9" ht="15" thickBot="1" x14ac:dyDescent="0.4">
      <c r="A105" s="2" t="s">
        <v>70</v>
      </c>
      <c r="B105" s="11">
        <v>410616</v>
      </c>
      <c r="C105" s="11">
        <v>378654</v>
      </c>
      <c r="D105" s="11">
        <v>416689</v>
      </c>
    </row>
    <row r="106" spans="1:9" ht="15" thickTop="1" x14ac:dyDescent="0.35"/>
    <row r="108" spans="1:9" x14ac:dyDescent="0.35">
      <c r="A108" t="s">
        <v>216</v>
      </c>
      <c r="B108" t="s">
        <v>65</v>
      </c>
      <c r="C108" t="s">
        <v>69</v>
      </c>
      <c r="D108" t="s">
        <v>67</v>
      </c>
      <c r="E108" t="s">
        <v>222</v>
      </c>
      <c r="F108" t="s">
        <v>223</v>
      </c>
      <c r="G108" t="s">
        <v>10</v>
      </c>
      <c r="H108" t="s">
        <v>9</v>
      </c>
      <c r="I108" t="s">
        <v>13</v>
      </c>
    </row>
    <row r="109" spans="1:9" x14ac:dyDescent="0.35">
      <c r="A109" s="2" t="s">
        <v>217</v>
      </c>
      <c r="B109" s="15">
        <v>7884</v>
      </c>
      <c r="C109" s="15">
        <v>425</v>
      </c>
      <c r="D109" s="15">
        <v>12054</v>
      </c>
      <c r="E109" s="15" t="s">
        <v>108</v>
      </c>
      <c r="F109" s="15">
        <v>20004</v>
      </c>
      <c r="G109" s="15">
        <v>51</v>
      </c>
      <c r="H109" s="15">
        <v>2733</v>
      </c>
      <c r="I109" s="15">
        <v>22788</v>
      </c>
    </row>
    <row r="110" spans="1:9" x14ac:dyDescent="0.35">
      <c r="A110" t="s">
        <v>218</v>
      </c>
      <c r="B110" s="16" t="s">
        <v>22</v>
      </c>
      <c r="C110" s="16" t="s">
        <v>22</v>
      </c>
      <c r="D110" s="16">
        <v>-31</v>
      </c>
      <c r="E110" s="16" t="s">
        <v>22</v>
      </c>
      <c r="F110" s="16">
        <v>-31</v>
      </c>
      <c r="G110" s="16" t="s">
        <v>22</v>
      </c>
      <c r="H110" s="16" t="s">
        <v>22</v>
      </c>
      <c r="I110" s="16">
        <v>-31</v>
      </c>
    </row>
    <row r="111" spans="1:9" x14ac:dyDescent="0.35">
      <c r="A111" t="s">
        <v>219</v>
      </c>
      <c r="B111" s="15">
        <v>7884</v>
      </c>
      <c r="C111" s="15">
        <v>425</v>
      </c>
      <c r="D111" s="15">
        <v>12023</v>
      </c>
      <c r="E111" s="15">
        <v>-359</v>
      </c>
      <c r="F111" s="15">
        <v>19973</v>
      </c>
      <c r="G111" s="15">
        <v>51</v>
      </c>
      <c r="H111" s="15">
        <v>2733</v>
      </c>
      <c r="I111" s="15">
        <v>22757</v>
      </c>
    </row>
    <row r="112" spans="1:9" x14ac:dyDescent="0.35">
      <c r="A112" t="s">
        <v>3</v>
      </c>
      <c r="B112" s="15" t="s">
        <v>22</v>
      </c>
      <c r="C112" s="15" t="s">
        <v>22</v>
      </c>
      <c r="D112" s="15">
        <v>2394</v>
      </c>
      <c r="E112" s="15" t="s">
        <v>22</v>
      </c>
      <c r="F112" s="15">
        <v>2394</v>
      </c>
      <c r="G112" s="15">
        <v>1</v>
      </c>
      <c r="H112" s="15">
        <v>24</v>
      </c>
      <c r="I112" s="15">
        <v>2419</v>
      </c>
    </row>
    <row r="113" spans="1:9" x14ac:dyDescent="0.35">
      <c r="A113" t="s">
        <v>189</v>
      </c>
      <c r="B113" s="16" t="s">
        <v>22</v>
      </c>
      <c r="C113" s="16" t="s">
        <v>22</v>
      </c>
      <c r="D113" s="16" t="s">
        <v>22</v>
      </c>
      <c r="E113" s="16">
        <v>288</v>
      </c>
      <c r="F113" s="16">
        <v>288</v>
      </c>
      <c r="G113" s="16" t="s">
        <v>22</v>
      </c>
      <c r="H113" s="16">
        <v>87</v>
      </c>
      <c r="I113" s="16">
        <v>375</v>
      </c>
    </row>
    <row r="114" spans="1:9" x14ac:dyDescent="0.35">
      <c r="B114" s="15">
        <v>7884</v>
      </c>
      <c r="C114" s="15">
        <v>425</v>
      </c>
      <c r="D114" s="15">
        <v>14417</v>
      </c>
      <c r="E114" s="15">
        <v>-71</v>
      </c>
      <c r="F114" s="15">
        <v>22655</v>
      </c>
      <c r="G114" s="15">
        <v>52</v>
      </c>
      <c r="H114" s="15">
        <v>2844</v>
      </c>
      <c r="I114" s="15">
        <v>25551</v>
      </c>
    </row>
    <row r="115" spans="1:9" x14ac:dyDescent="0.35">
      <c r="A115" t="s">
        <v>190</v>
      </c>
      <c r="B115" s="15" t="s">
        <v>22</v>
      </c>
      <c r="C115" s="15" t="s">
        <v>22</v>
      </c>
      <c r="D115" s="15">
        <v>-2934</v>
      </c>
      <c r="E115" s="15" t="s">
        <v>22</v>
      </c>
      <c r="F115" s="15">
        <v>-2934</v>
      </c>
      <c r="G115" s="15" t="s">
        <v>22</v>
      </c>
      <c r="H115" s="15" t="s">
        <v>22</v>
      </c>
      <c r="I115" s="15">
        <v>-2934</v>
      </c>
    </row>
    <row r="116" spans="1:9" x14ac:dyDescent="0.35">
      <c r="A116" t="s">
        <v>191</v>
      </c>
      <c r="B116" s="15" t="s">
        <v>22</v>
      </c>
      <c r="C116" s="15">
        <v>8</v>
      </c>
      <c r="D116" s="15" t="s">
        <v>22</v>
      </c>
      <c r="E116" s="15" t="s">
        <v>22</v>
      </c>
      <c r="F116" s="15">
        <v>8</v>
      </c>
      <c r="G116" s="15" t="s">
        <v>22</v>
      </c>
      <c r="H116" s="15" t="s">
        <v>22</v>
      </c>
      <c r="I116" s="15">
        <v>8</v>
      </c>
    </row>
    <row r="117" spans="1:9" x14ac:dyDescent="0.35">
      <c r="A117" t="s">
        <v>220</v>
      </c>
      <c r="B117" s="15">
        <v>111</v>
      </c>
      <c r="C117" s="15" t="s">
        <v>22</v>
      </c>
      <c r="D117" s="15" t="s">
        <v>22</v>
      </c>
      <c r="E117" s="15" t="s">
        <v>22</v>
      </c>
      <c r="F117" s="15">
        <v>111</v>
      </c>
      <c r="G117" s="15" t="s">
        <v>22</v>
      </c>
      <c r="H117" s="15" t="s">
        <v>22</v>
      </c>
      <c r="I117" s="15">
        <v>111</v>
      </c>
    </row>
    <row r="118" spans="1:9" x14ac:dyDescent="0.35">
      <c r="A118" t="s">
        <v>221</v>
      </c>
      <c r="B118" s="16" t="s">
        <v>22</v>
      </c>
      <c r="C118" s="16" t="s">
        <v>22</v>
      </c>
      <c r="D118" s="16">
        <v>-27</v>
      </c>
      <c r="E118" s="16" t="s">
        <v>22</v>
      </c>
      <c r="F118" s="16">
        <v>-27</v>
      </c>
      <c r="G118" s="16">
        <v>-36</v>
      </c>
      <c r="H118" s="16" t="s">
        <v>22</v>
      </c>
      <c r="I118" s="16">
        <v>-63</v>
      </c>
    </row>
    <row r="119" spans="1:9" ht="15" thickBot="1" x14ac:dyDescent="0.4">
      <c r="A119" s="2" t="s">
        <v>167</v>
      </c>
      <c r="B119" s="17">
        <v>7995</v>
      </c>
      <c r="C119" s="17">
        <v>433</v>
      </c>
      <c r="D119" s="17">
        <v>11456</v>
      </c>
      <c r="E119" s="17" t="s">
        <v>98</v>
      </c>
      <c r="F119" s="17">
        <v>19813</v>
      </c>
      <c r="G119" s="17">
        <v>16</v>
      </c>
      <c r="H119" s="17">
        <v>2844</v>
      </c>
      <c r="I119" s="17">
        <v>22673</v>
      </c>
    </row>
    <row r="120" spans="1:9" ht="15" thickTop="1" x14ac:dyDescent="0.35"/>
    <row r="122" spans="1:9" x14ac:dyDescent="0.35">
      <c r="A122" t="s">
        <v>224</v>
      </c>
      <c r="B122" t="s">
        <v>103</v>
      </c>
      <c r="C122" t="s">
        <v>104</v>
      </c>
    </row>
    <row r="123" spans="1:9" x14ac:dyDescent="0.35">
      <c r="C123" t="s">
        <v>101</v>
      </c>
    </row>
    <row r="124" spans="1:9" x14ac:dyDescent="0.35">
      <c r="A124" s="2" t="s">
        <v>109</v>
      </c>
    </row>
    <row r="125" spans="1:9" x14ac:dyDescent="0.35">
      <c r="A125" t="s">
        <v>27</v>
      </c>
      <c r="B125">
        <v>2339</v>
      </c>
      <c r="C125">
        <v>3664</v>
      </c>
    </row>
    <row r="126" spans="1:9" x14ac:dyDescent="0.35">
      <c r="A126" t="s">
        <v>71</v>
      </c>
      <c r="B126">
        <v>-360</v>
      </c>
      <c r="C126">
        <v>-326</v>
      </c>
    </row>
    <row r="127" spans="1:9" x14ac:dyDescent="0.35">
      <c r="A127" t="s">
        <v>72</v>
      </c>
    </row>
    <row r="128" spans="1:9" x14ac:dyDescent="0.35">
      <c r="A128" t="s">
        <v>73</v>
      </c>
      <c r="B128">
        <v>9242</v>
      </c>
      <c r="C128">
        <v>-20136</v>
      </c>
    </row>
    <row r="129" spans="1:3" x14ac:dyDescent="0.35">
      <c r="A129" t="s">
        <v>74</v>
      </c>
      <c r="B129">
        <v>289</v>
      </c>
      <c r="C129">
        <v>111</v>
      </c>
    </row>
    <row r="130" spans="1:3" x14ac:dyDescent="0.35">
      <c r="A130" t="s">
        <v>75</v>
      </c>
      <c r="B130">
        <v>206</v>
      </c>
      <c r="C130">
        <v>-1123</v>
      </c>
    </row>
    <row r="131" spans="1:3" x14ac:dyDescent="0.35">
      <c r="A131" t="s">
        <v>76</v>
      </c>
      <c r="B131">
        <v>100</v>
      </c>
      <c r="C131">
        <v>2899</v>
      </c>
    </row>
    <row r="132" spans="1:3" x14ac:dyDescent="0.35">
      <c r="A132" t="s">
        <v>77</v>
      </c>
      <c r="B132">
        <v>-439</v>
      </c>
      <c r="C132">
        <v>1185</v>
      </c>
    </row>
    <row r="133" spans="1:3" x14ac:dyDescent="0.35">
      <c r="A133" t="s">
        <v>78</v>
      </c>
      <c r="B133">
        <v>-4267</v>
      </c>
      <c r="C133">
        <v>20289</v>
      </c>
    </row>
    <row r="134" spans="1:3" x14ac:dyDescent="0.35">
      <c r="A134" t="s">
        <v>79</v>
      </c>
      <c r="B134">
        <v>24224</v>
      </c>
      <c r="C134">
        <v>22296</v>
      </c>
    </row>
    <row r="135" spans="1:3" x14ac:dyDescent="0.35">
      <c r="A135" t="s">
        <v>80</v>
      </c>
      <c r="B135">
        <v>-27299</v>
      </c>
      <c r="C135">
        <v>-26138</v>
      </c>
    </row>
    <row r="136" spans="1:3" x14ac:dyDescent="0.35">
      <c r="A136" t="s">
        <v>81</v>
      </c>
      <c r="B136" s="5">
        <v>-199</v>
      </c>
      <c r="C136" s="5">
        <v>-378</v>
      </c>
    </row>
    <row r="137" spans="1:3" x14ac:dyDescent="0.35">
      <c r="B137">
        <v>3836</v>
      </c>
      <c r="C137">
        <v>2343</v>
      </c>
    </row>
    <row r="138" spans="1:3" x14ac:dyDescent="0.35">
      <c r="A138" s="2" t="s">
        <v>82</v>
      </c>
    </row>
    <row r="139" spans="1:3" x14ac:dyDescent="0.35">
      <c r="A139" t="s">
        <v>83</v>
      </c>
      <c r="B139">
        <v>-2934</v>
      </c>
      <c r="C139">
        <v>-1770</v>
      </c>
    </row>
    <row r="141" spans="1:3" x14ac:dyDescent="0.35">
      <c r="A141" s="2" t="s">
        <v>84</v>
      </c>
    </row>
    <row r="142" spans="1:3" x14ac:dyDescent="0.35">
      <c r="A142" t="s">
        <v>85</v>
      </c>
      <c r="B142">
        <v>-185</v>
      </c>
      <c r="C142">
        <v>-63</v>
      </c>
    </row>
    <row r="143" spans="1:3" x14ac:dyDescent="0.35">
      <c r="A143" t="s">
        <v>110</v>
      </c>
      <c r="B143">
        <v>-560</v>
      </c>
      <c r="C143">
        <v>-6</v>
      </c>
    </row>
    <row r="144" spans="1:3" x14ac:dyDescent="0.35">
      <c r="B144">
        <v>-745</v>
      </c>
      <c r="C144">
        <v>-69</v>
      </c>
    </row>
    <row r="145" spans="1:3" x14ac:dyDescent="0.35">
      <c r="A145" t="s">
        <v>86</v>
      </c>
      <c r="B145">
        <v>26</v>
      </c>
      <c r="C145">
        <v>-14</v>
      </c>
    </row>
    <row r="146" spans="1:3" x14ac:dyDescent="0.35">
      <c r="A146" s="2" t="s">
        <v>87</v>
      </c>
      <c r="B146">
        <v>183</v>
      </c>
      <c r="C146">
        <v>490</v>
      </c>
    </row>
    <row r="147" spans="1:3" x14ac:dyDescent="0.35">
      <c r="A147" s="2" t="s">
        <v>88</v>
      </c>
      <c r="B147" s="5">
        <v>3761</v>
      </c>
      <c r="C147" s="5">
        <v>3271</v>
      </c>
    </row>
    <row r="148" spans="1:3" ht="15" thickBot="1" x14ac:dyDescent="0.4">
      <c r="A148" s="2" t="s">
        <v>89</v>
      </c>
      <c r="B148" s="18">
        <v>3944</v>
      </c>
      <c r="C148" s="18">
        <v>3761</v>
      </c>
    </row>
    <row r="149" spans="1:3" ht="15" thickTop="1" x14ac:dyDescent="0.35">
      <c r="A149" s="2" t="s">
        <v>90</v>
      </c>
    </row>
    <row r="150" spans="1:3" x14ac:dyDescent="0.35">
      <c r="A150" t="s">
        <v>91</v>
      </c>
      <c r="B150">
        <v>4210</v>
      </c>
      <c r="C150">
        <v>3661</v>
      </c>
    </row>
    <row r="151" spans="1:3" x14ac:dyDescent="0.35">
      <c r="A151" t="s">
        <v>92</v>
      </c>
      <c r="B151">
        <v>112</v>
      </c>
      <c r="C151">
        <v>116</v>
      </c>
    </row>
    <row r="152" spans="1:3" x14ac:dyDescent="0.35">
      <c r="A152" t="s">
        <v>93</v>
      </c>
      <c r="B152">
        <v>400</v>
      </c>
      <c r="C152">
        <v>352</v>
      </c>
    </row>
  </sheetData>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D5133-98AA-4512-933E-B6916CD461DE}">
  <dimension ref="A2:I161"/>
  <sheetViews>
    <sheetView workbookViewId="0"/>
  </sheetViews>
  <sheetFormatPr defaultRowHeight="14.5" x14ac:dyDescent="0.35"/>
  <cols>
    <col min="1" max="1" width="74.453125" bestFit="1" customWidth="1"/>
    <col min="2" max="2" width="14.08984375" bestFit="1" customWidth="1"/>
    <col min="3" max="3" width="20" bestFit="1" customWidth="1"/>
    <col min="4" max="4" width="21.08984375" bestFit="1" customWidth="1"/>
    <col min="5" max="5" width="53.90625" bestFit="1" customWidth="1"/>
    <col min="6" max="6" width="24.90625" bestFit="1" customWidth="1"/>
    <col min="7" max="7" width="24.08984375" bestFit="1" customWidth="1"/>
    <col min="8" max="8" width="28" bestFit="1" customWidth="1"/>
    <col min="9" max="9" width="25.6328125" bestFit="1" customWidth="1"/>
    <col min="10" max="10" width="11.7265625" bestFit="1" customWidth="1"/>
    <col min="11" max="11" width="24.08984375" bestFit="1" customWidth="1"/>
    <col min="12" max="12" width="11.7265625" bestFit="1" customWidth="1"/>
    <col min="13" max="13" width="24.54296875" bestFit="1" customWidth="1"/>
    <col min="14" max="14" width="11.7265625" bestFit="1" customWidth="1"/>
    <col min="15" max="15" width="28.90625" bestFit="1" customWidth="1"/>
    <col min="16" max="16" width="11.7265625" bestFit="1" customWidth="1"/>
    <col min="17" max="17" width="13.26953125" bestFit="1" customWidth="1"/>
  </cols>
  <sheetData>
    <row r="2" spans="1:3" x14ac:dyDescent="0.35">
      <c r="A2" t="s">
        <v>231</v>
      </c>
      <c r="B2" t="s">
        <v>104</v>
      </c>
      <c r="C2" t="s">
        <v>215</v>
      </c>
    </row>
    <row r="3" spans="1:3" x14ac:dyDescent="0.35">
      <c r="A3" s="2" t="s">
        <v>230</v>
      </c>
    </row>
    <row r="4" spans="1:3" x14ac:dyDescent="0.35">
      <c r="A4" t="s">
        <v>1</v>
      </c>
      <c r="B4" s="1"/>
      <c r="C4" s="1"/>
    </row>
    <row r="5" spans="1:3" x14ac:dyDescent="0.35">
      <c r="A5" t="s">
        <v>111</v>
      </c>
      <c r="B5" s="1">
        <v>1809</v>
      </c>
      <c r="C5" s="1">
        <v>1708</v>
      </c>
    </row>
    <row r="6" spans="1:3" x14ac:dyDescent="0.35">
      <c r="A6" t="s">
        <v>112</v>
      </c>
      <c r="B6" s="1">
        <v>1625</v>
      </c>
      <c r="C6" s="1">
        <v>1405</v>
      </c>
    </row>
    <row r="7" spans="1:3" x14ac:dyDescent="0.35">
      <c r="A7" t="s">
        <v>113</v>
      </c>
      <c r="B7" s="10">
        <v>184</v>
      </c>
      <c r="C7" s="10">
        <v>303</v>
      </c>
    </row>
    <row r="8" spans="1:3" x14ac:dyDescent="0.35">
      <c r="A8" t="s">
        <v>2</v>
      </c>
      <c r="B8" s="1">
        <v>2995</v>
      </c>
      <c r="C8" s="1">
        <v>2868</v>
      </c>
    </row>
    <row r="9" spans="1:3" x14ac:dyDescent="0.35">
      <c r="A9" s="14" t="s">
        <v>3</v>
      </c>
      <c r="B9" s="10">
        <v>3179</v>
      </c>
      <c r="C9" s="10">
        <v>3171</v>
      </c>
    </row>
    <row r="10" spans="1:3" x14ac:dyDescent="0.35">
      <c r="A10" s="2"/>
      <c r="B10" s="1"/>
      <c r="C10" s="1"/>
    </row>
    <row r="11" spans="1:3" x14ac:dyDescent="0.35">
      <c r="A11" s="2" t="s">
        <v>114</v>
      </c>
      <c r="B11" s="1">
        <v>54322</v>
      </c>
      <c r="C11" s="1">
        <v>50609</v>
      </c>
    </row>
    <row r="12" spans="1:3" x14ac:dyDescent="0.35">
      <c r="A12" s="2" t="s">
        <v>226</v>
      </c>
      <c r="B12" s="1">
        <v>98025</v>
      </c>
      <c r="C12" s="1">
        <v>94160</v>
      </c>
    </row>
    <row r="13" spans="1:3" x14ac:dyDescent="0.35">
      <c r="A13" s="2" t="s">
        <v>6</v>
      </c>
      <c r="B13" s="1">
        <v>3325</v>
      </c>
      <c r="C13" s="1">
        <v>3414</v>
      </c>
    </row>
    <row r="14" spans="1:3" x14ac:dyDescent="0.35">
      <c r="A14" s="14" t="s">
        <v>115</v>
      </c>
      <c r="B14" s="10">
        <v>48246</v>
      </c>
      <c r="C14" s="10">
        <v>42319</v>
      </c>
    </row>
    <row r="15" spans="1:3" x14ac:dyDescent="0.35">
      <c r="A15" s="2" t="s">
        <v>7</v>
      </c>
      <c r="B15" s="1">
        <v>393982</v>
      </c>
      <c r="C15" s="1">
        <v>426404</v>
      </c>
    </row>
    <row r="16" spans="1:3" x14ac:dyDescent="0.35">
      <c r="A16" t="s">
        <v>227</v>
      </c>
      <c r="B16" s="10">
        <v>65410</v>
      </c>
      <c r="C16" s="10">
        <v>77019</v>
      </c>
    </row>
    <row r="17" spans="1:3" x14ac:dyDescent="0.35">
      <c r="A17" s="2" t="s">
        <v>94</v>
      </c>
      <c r="B17" s="1">
        <v>459392</v>
      </c>
      <c r="C17" s="1">
        <v>503423</v>
      </c>
    </row>
    <row r="18" spans="1:3" x14ac:dyDescent="0.35">
      <c r="A18" t="s">
        <v>228</v>
      </c>
      <c r="B18" s="1">
        <v>37689</v>
      </c>
      <c r="C18" s="1">
        <v>41975</v>
      </c>
    </row>
    <row r="19" spans="1:3" x14ac:dyDescent="0.35">
      <c r="A19" s="2" t="s">
        <v>203</v>
      </c>
      <c r="B19" s="10">
        <v>497081</v>
      </c>
      <c r="C19" s="10">
        <v>545398</v>
      </c>
    </row>
    <row r="20" spans="1:3" x14ac:dyDescent="0.35">
      <c r="A20" s="2"/>
      <c r="B20" s="1"/>
      <c r="C20" s="1"/>
    </row>
    <row r="21" spans="1:3" x14ac:dyDescent="0.35">
      <c r="A21" t="s">
        <v>9</v>
      </c>
      <c r="B21" s="1">
        <v>3147</v>
      </c>
      <c r="C21" s="1">
        <v>3126</v>
      </c>
    </row>
    <row r="22" spans="1:3" x14ac:dyDescent="0.35">
      <c r="A22" t="s">
        <v>10</v>
      </c>
      <c r="B22" s="1">
        <v>51</v>
      </c>
      <c r="C22" s="1">
        <v>26</v>
      </c>
    </row>
    <row r="23" spans="1:3" x14ac:dyDescent="0.35">
      <c r="A23" t="s">
        <v>12</v>
      </c>
      <c r="B23" s="1">
        <v>22312</v>
      </c>
      <c r="C23" s="1">
        <v>21277</v>
      </c>
    </row>
    <row r="24" spans="1:3" x14ac:dyDescent="0.35">
      <c r="A24" s="2" t="s">
        <v>13</v>
      </c>
      <c r="B24" s="1">
        <v>25510</v>
      </c>
      <c r="C24" s="1">
        <v>24429</v>
      </c>
    </row>
    <row r="25" spans="1:3" x14ac:dyDescent="0.35">
      <c r="A25" s="2" t="s">
        <v>229</v>
      </c>
      <c r="B25" s="1">
        <v>9268</v>
      </c>
      <c r="C25" s="1">
        <v>8838</v>
      </c>
    </row>
    <row r="26" spans="1:3" x14ac:dyDescent="0.35">
      <c r="A26" s="2" t="s">
        <v>204</v>
      </c>
      <c r="B26" s="13">
        <v>1.2</v>
      </c>
      <c r="C26" s="13">
        <v>1.24</v>
      </c>
    </row>
    <row r="29" spans="1:3" x14ac:dyDescent="0.35">
      <c r="A29" t="s">
        <v>232</v>
      </c>
      <c r="B29" t="s">
        <v>104</v>
      </c>
      <c r="C29" t="s">
        <v>215</v>
      </c>
    </row>
    <row r="30" spans="1:3" x14ac:dyDescent="0.35">
      <c r="A30" s="2" t="s">
        <v>116</v>
      </c>
    </row>
    <row r="31" spans="1:3" x14ac:dyDescent="0.35">
      <c r="A31" t="s">
        <v>117</v>
      </c>
    </row>
    <row r="32" spans="1:3" x14ac:dyDescent="0.35">
      <c r="A32" t="s">
        <v>118</v>
      </c>
      <c r="B32" s="1">
        <v>58060</v>
      </c>
      <c r="C32" s="1">
        <v>54340</v>
      </c>
    </row>
    <row r="33" spans="1:3" x14ac:dyDescent="0.35">
      <c r="A33" t="s">
        <v>119</v>
      </c>
      <c r="B33" s="10">
        <v>-3738</v>
      </c>
      <c r="C33" s="10">
        <v>-3731</v>
      </c>
    </row>
    <row r="34" spans="1:3" x14ac:dyDescent="0.35">
      <c r="A34" t="s">
        <v>114</v>
      </c>
      <c r="B34" s="12">
        <v>54322</v>
      </c>
      <c r="C34" s="12">
        <v>50609</v>
      </c>
    </row>
    <row r="35" spans="1:3" x14ac:dyDescent="0.35">
      <c r="A35" t="s">
        <v>120</v>
      </c>
      <c r="B35" s="1"/>
      <c r="C35" s="1"/>
    </row>
    <row r="36" spans="1:3" x14ac:dyDescent="0.35">
      <c r="A36" t="s">
        <v>121</v>
      </c>
      <c r="B36" s="1">
        <v>-4898</v>
      </c>
      <c r="C36" s="1">
        <v>4502</v>
      </c>
    </row>
    <row r="37" spans="1:3" x14ac:dyDescent="0.35">
      <c r="A37" t="s">
        <v>78</v>
      </c>
      <c r="B37" s="10">
        <v>-16011</v>
      </c>
      <c r="C37" s="10">
        <v>-1240</v>
      </c>
    </row>
    <row r="38" spans="1:3" x14ac:dyDescent="0.35">
      <c r="A38" t="s">
        <v>122</v>
      </c>
      <c r="B38" s="1">
        <v>-11113</v>
      </c>
      <c r="C38" s="1">
        <v>3262</v>
      </c>
    </row>
    <row r="39" spans="1:3" x14ac:dyDescent="0.35">
      <c r="A39" t="s">
        <v>6</v>
      </c>
      <c r="B39" s="10">
        <v>-3325</v>
      </c>
      <c r="C39" s="10">
        <v>3414</v>
      </c>
    </row>
    <row r="40" spans="1:3" x14ac:dyDescent="0.35">
      <c r="B40" s="12">
        <v>46534</v>
      </c>
      <c r="C40" s="12">
        <v>57285</v>
      </c>
    </row>
    <row r="41" spans="1:3" x14ac:dyDescent="0.35">
      <c r="A41" s="2" t="s">
        <v>123</v>
      </c>
      <c r="B41" s="1"/>
      <c r="C41" s="1"/>
    </row>
    <row r="42" spans="1:3" x14ac:dyDescent="0.35">
      <c r="A42" t="s">
        <v>124</v>
      </c>
      <c r="B42" s="1"/>
      <c r="C42" s="1"/>
    </row>
    <row r="43" spans="1:3" x14ac:dyDescent="0.35">
      <c r="A43" t="s">
        <v>125</v>
      </c>
      <c r="B43" s="1">
        <v>48611</v>
      </c>
      <c r="C43" s="1">
        <v>43401</v>
      </c>
    </row>
    <row r="44" spans="1:3" x14ac:dyDescent="0.35">
      <c r="A44" t="s">
        <v>126</v>
      </c>
      <c r="B44" s="10">
        <v>-2537</v>
      </c>
      <c r="C44" s="10">
        <v>-2505</v>
      </c>
    </row>
    <row r="45" spans="1:3" x14ac:dyDescent="0.35">
      <c r="A45" t="s">
        <v>127</v>
      </c>
      <c r="B45" s="1">
        <v>46074</v>
      </c>
      <c r="C45" s="1">
        <v>40896</v>
      </c>
    </row>
    <row r="46" spans="1:3" x14ac:dyDescent="0.35">
      <c r="A46" t="s">
        <v>128</v>
      </c>
      <c r="B46" s="1"/>
      <c r="C46" s="1"/>
    </row>
    <row r="47" spans="1:3" x14ac:dyDescent="0.35">
      <c r="A47" t="s">
        <v>125</v>
      </c>
      <c r="B47" s="1">
        <v>-12410</v>
      </c>
      <c r="C47" s="1">
        <v>4394</v>
      </c>
    </row>
    <row r="48" spans="1:3" x14ac:dyDescent="0.35">
      <c r="A48" t="s">
        <v>126</v>
      </c>
      <c r="B48" s="10">
        <v>1169</v>
      </c>
      <c r="C48" s="10">
        <v>1081</v>
      </c>
    </row>
    <row r="49" spans="1:3" x14ac:dyDescent="0.35">
      <c r="A49" t="s">
        <v>129</v>
      </c>
      <c r="B49" s="1">
        <v>-11241</v>
      </c>
      <c r="C49" s="1">
        <v>5475</v>
      </c>
    </row>
    <row r="50" spans="1:3" x14ac:dyDescent="0.35">
      <c r="A50" t="s">
        <v>130</v>
      </c>
      <c r="B50" s="10">
        <v>2172</v>
      </c>
      <c r="C50" s="10">
        <v>1423</v>
      </c>
    </row>
    <row r="51" spans="1:3" x14ac:dyDescent="0.35">
      <c r="A51" t="s">
        <v>131</v>
      </c>
      <c r="B51" s="1">
        <v>37005</v>
      </c>
      <c r="C51" s="1">
        <v>47794</v>
      </c>
    </row>
    <row r="52" spans="1:3" x14ac:dyDescent="0.35">
      <c r="A52" t="s">
        <v>132</v>
      </c>
      <c r="B52" s="1">
        <v>2148</v>
      </c>
      <c r="C52" s="1">
        <v>2107</v>
      </c>
    </row>
    <row r="53" spans="1:3" x14ac:dyDescent="0.35">
      <c r="A53" t="s">
        <v>133</v>
      </c>
      <c r="B53" s="1">
        <v>3249</v>
      </c>
      <c r="C53" s="1">
        <v>3175</v>
      </c>
    </row>
    <row r="54" spans="1:3" x14ac:dyDescent="0.35">
      <c r="A54" t="s">
        <v>134</v>
      </c>
      <c r="B54" s="1">
        <v>474</v>
      </c>
      <c r="C54" s="1">
        <v>486</v>
      </c>
    </row>
    <row r="55" spans="1:3" x14ac:dyDescent="0.35">
      <c r="A55" t="s">
        <v>135</v>
      </c>
      <c r="B55" s="1">
        <v>109</v>
      </c>
      <c r="C55" s="1">
        <v>110</v>
      </c>
    </row>
    <row r="56" spans="1:3" x14ac:dyDescent="0.35">
      <c r="A56" t="s">
        <v>136</v>
      </c>
      <c r="B56" s="10">
        <v>168</v>
      </c>
      <c r="C56" s="10">
        <v>165</v>
      </c>
    </row>
    <row r="57" spans="1:3" x14ac:dyDescent="0.35">
      <c r="A57" s="2" t="s">
        <v>27</v>
      </c>
      <c r="B57" s="1">
        <v>3381</v>
      </c>
      <c r="C57" s="1">
        <v>3448</v>
      </c>
    </row>
    <row r="58" spans="1:3" x14ac:dyDescent="0.35">
      <c r="A58" t="s">
        <v>137</v>
      </c>
      <c r="B58" s="10">
        <v>199</v>
      </c>
      <c r="C58" s="10">
        <v>274</v>
      </c>
    </row>
    <row r="59" spans="1:3" x14ac:dyDescent="0.35">
      <c r="A59" s="2" t="s">
        <v>29</v>
      </c>
      <c r="B59" s="1">
        <v>3182</v>
      </c>
      <c r="C59" s="1">
        <v>3174</v>
      </c>
    </row>
    <row r="60" spans="1:3" x14ac:dyDescent="0.35">
      <c r="A60" t="s">
        <v>138</v>
      </c>
      <c r="B60" s="10">
        <v>3</v>
      </c>
      <c r="C60" s="10">
        <v>3</v>
      </c>
    </row>
    <row r="61" spans="1:3" x14ac:dyDescent="0.35">
      <c r="A61" s="2" t="s">
        <v>3</v>
      </c>
      <c r="B61" s="1">
        <v>3179</v>
      </c>
      <c r="C61" s="1">
        <v>3171</v>
      </c>
    </row>
    <row r="62" spans="1:3" x14ac:dyDescent="0.35">
      <c r="A62" t="s">
        <v>139</v>
      </c>
      <c r="B62" s="10">
        <v>184</v>
      </c>
      <c r="C62" s="10">
        <v>303</v>
      </c>
    </row>
    <row r="63" spans="1:3" x14ac:dyDescent="0.35">
      <c r="A63" s="2" t="s">
        <v>140</v>
      </c>
      <c r="B63" s="12">
        <v>2995</v>
      </c>
      <c r="C63" s="12">
        <v>2868</v>
      </c>
    </row>
    <row r="66" spans="1:3" x14ac:dyDescent="0.35">
      <c r="A66" t="s">
        <v>233</v>
      </c>
      <c r="B66" t="s">
        <v>104</v>
      </c>
      <c r="C66" t="s">
        <v>215</v>
      </c>
    </row>
    <row r="67" spans="1:3" x14ac:dyDescent="0.35">
      <c r="A67" s="2" t="s">
        <v>105</v>
      </c>
    </row>
    <row r="68" spans="1:3" x14ac:dyDescent="0.35">
      <c r="A68" t="s">
        <v>33</v>
      </c>
      <c r="B68" s="1">
        <v>3761</v>
      </c>
      <c r="C68" s="1">
        <v>3271</v>
      </c>
    </row>
    <row r="69" spans="1:3" x14ac:dyDescent="0.35">
      <c r="A69" t="s">
        <v>34</v>
      </c>
      <c r="B69" s="1">
        <v>87814</v>
      </c>
      <c r="C69" s="1">
        <v>101329</v>
      </c>
    </row>
    <row r="70" spans="1:3" x14ac:dyDescent="0.35">
      <c r="A70" t="s">
        <v>35</v>
      </c>
      <c r="B70" s="1">
        <v>24012</v>
      </c>
      <c r="C70" s="1">
        <v>23113</v>
      </c>
    </row>
    <row r="71" spans="1:3" x14ac:dyDescent="0.35">
      <c r="A71" t="s">
        <v>36</v>
      </c>
      <c r="B71" s="1">
        <v>12663</v>
      </c>
      <c r="C71" s="1">
        <v>13252</v>
      </c>
    </row>
    <row r="72" spans="1:3" x14ac:dyDescent="0.35">
      <c r="A72" t="s">
        <v>37</v>
      </c>
      <c r="B72" s="1">
        <v>8315</v>
      </c>
      <c r="C72" s="1">
        <v>7759</v>
      </c>
    </row>
    <row r="73" spans="1:3" x14ac:dyDescent="0.35">
      <c r="A73" t="s">
        <v>141</v>
      </c>
      <c r="B73" s="10">
        <v>3660</v>
      </c>
      <c r="C73" s="10">
        <v>3480</v>
      </c>
    </row>
    <row r="74" spans="1:3" x14ac:dyDescent="0.35">
      <c r="B74" s="1">
        <v>140225</v>
      </c>
      <c r="C74" s="1">
        <v>152204</v>
      </c>
    </row>
    <row r="75" spans="1:3" x14ac:dyDescent="0.35">
      <c r="A75" t="s">
        <v>142</v>
      </c>
      <c r="B75" s="1">
        <v>7041</v>
      </c>
      <c r="C75" s="1">
        <v>7555</v>
      </c>
    </row>
    <row r="76" spans="1:3" x14ac:dyDescent="0.35">
      <c r="A76" t="s">
        <v>143</v>
      </c>
      <c r="B76" s="1">
        <v>6877</v>
      </c>
      <c r="C76" s="1">
        <v>8794</v>
      </c>
    </row>
    <row r="77" spans="1:3" x14ac:dyDescent="0.35">
      <c r="A77" t="s">
        <v>144</v>
      </c>
      <c r="B77" s="1">
        <v>6372</v>
      </c>
      <c r="C77" s="1">
        <v>6382</v>
      </c>
    </row>
    <row r="78" spans="1:3" x14ac:dyDescent="0.35">
      <c r="A78" t="s">
        <v>145</v>
      </c>
      <c r="B78" s="1">
        <v>2450</v>
      </c>
      <c r="C78" s="1">
        <v>2362</v>
      </c>
    </row>
    <row r="79" spans="1:3" x14ac:dyDescent="0.35">
      <c r="A79" t="s">
        <v>146</v>
      </c>
      <c r="B79" s="1">
        <v>1120</v>
      </c>
      <c r="C79" s="1">
        <v>582</v>
      </c>
    </row>
    <row r="80" spans="1:3" x14ac:dyDescent="0.35">
      <c r="A80" t="s">
        <v>147</v>
      </c>
      <c r="B80" s="1">
        <v>532</v>
      </c>
      <c r="C80" s="1">
        <v>552</v>
      </c>
    </row>
    <row r="81" spans="1:3" x14ac:dyDescent="0.35">
      <c r="A81" t="s">
        <v>148</v>
      </c>
      <c r="B81" s="1">
        <v>257</v>
      </c>
      <c r="C81" s="1">
        <v>288</v>
      </c>
    </row>
    <row r="82" spans="1:3" x14ac:dyDescent="0.35">
      <c r="A82" t="s">
        <v>149</v>
      </c>
      <c r="B82" s="1">
        <v>2091</v>
      </c>
      <c r="C82" s="1">
        <v>1836</v>
      </c>
    </row>
    <row r="83" spans="1:3" x14ac:dyDescent="0.35">
      <c r="A83" t="s">
        <v>150</v>
      </c>
      <c r="B83" s="1">
        <v>4825</v>
      </c>
      <c r="C83" s="1">
        <v>4841</v>
      </c>
    </row>
    <row r="84" spans="1:3" x14ac:dyDescent="0.35">
      <c r="A84" t="s">
        <v>47</v>
      </c>
      <c r="B84" s="1">
        <v>254</v>
      </c>
      <c r="C84" s="1">
        <v>242</v>
      </c>
    </row>
    <row r="85" spans="1:3" x14ac:dyDescent="0.35">
      <c r="A85" t="s">
        <v>151</v>
      </c>
      <c r="B85" s="1">
        <v>315</v>
      </c>
      <c r="C85" s="1">
        <v>266</v>
      </c>
    </row>
    <row r="86" spans="1:3" x14ac:dyDescent="0.35">
      <c r="A86" t="s">
        <v>152</v>
      </c>
      <c r="B86" s="1">
        <v>221623</v>
      </c>
      <c r="C86" s="1">
        <v>240500</v>
      </c>
    </row>
    <row r="87" spans="1:3" x14ac:dyDescent="0.35">
      <c r="A87" s="2" t="s">
        <v>7</v>
      </c>
      <c r="B87" s="1">
        <v>393982</v>
      </c>
      <c r="C87" s="1">
        <v>426404</v>
      </c>
    </row>
    <row r="88" spans="1:3" x14ac:dyDescent="0.35">
      <c r="A88" s="2"/>
      <c r="B88" s="1"/>
      <c r="C88" s="1"/>
    </row>
    <row r="89" spans="1:3" x14ac:dyDescent="0.35">
      <c r="A89" s="2" t="s">
        <v>50</v>
      </c>
      <c r="B89" s="1"/>
      <c r="C89" s="1"/>
    </row>
    <row r="90" spans="1:3" x14ac:dyDescent="0.35">
      <c r="A90" t="s">
        <v>153</v>
      </c>
      <c r="B90" s="1">
        <v>134389</v>
      </c>
      <c r="C90" s="1">
        <v>148884</v>
      </c>
    </row>
    <row r="91" spans="1:3" x14ac:dyDescent="0.35">
      <c r="A91" t="s">
        <v>154</v>
      </c>
      <c r="B91" s="1">
        <v>1568</v>
      </c>
      <c r="C91" s="1">
        <v>1646</v>
      </c>
    </row>
    <row r="92" spans="1:3" x14ac:dyDescent="0.35">
      <c r="A92" t="s">
        <v>155</v>
      </c>
      <c r="B92" s="1">
        <v>747</v>
      </c>
      <c r="C92" s="1">
        <v>745</v>
      </c>
    </row>
    <row r="93" spans="1:3" x14ac:dyDescent="0.35">
      <c r="A93" t="s">
        <v>156</v>
      </c>
      <c r="B93" s="1">
        <v>1000</v>
      </c>
      <c r="C93" s="1">
        <v>1000</v>
      </c>
    </row>
    <row r="94" spans="1:3" x14ac:dyDescent="0.35">
      <c r="A94" t="s">
        <v>157</v>
      </c>
      <c r="B94" s="1">
        <v>1646</v>
      </c>
      <c r="C94" s="1">
        <v>2006</v>
      </c>
    </row>
    <row r="95" spans="1:3" x14ac:dyDescent="0.35">
      <c r="A95" t="s">
        <v>146</v>
      </c>
      <c r="B95" s="1">
        <v>1575</v>
      </c>
      <c r="C95" s="1">
        <v>1005</v>
      </c>
    </row>
    <row r="96" spans="1:3" x14ac:dyDescent="0.35">
      <c r="A96" t="s">
        <v>55</v>
      </c>
      <c r="B96" s="1">
        <v>2047</v>
      </c>
      <c r="C96" s="1">
        <v>1945</v>
      </c>
    </row>
    <row r="97" spans="1:3" x14ac:dyDescent="0.35">
      <c r="A97" t="s">
        <v>158</v>
      </c>
      <c r="B97" s="1">
        <v>2935</v>
      </c>
      <c r="C97" s="1">
        <v>3162</v>
      </c>
    </row>
    <row r="98" spans="1:3" x14ac:dyDescent="0.35">
      <c r="A98" t="s">
        <v>47</v>
      </c>
      <c r="B98" s="1">
        <v>50</v>
      </c>
      <c r="C98" s="1">
        <v>160</v>
      </c>
    </row>
    <row r="99" spans="1:3" x14ac:dyDescent="0.35">
      <c r="A99" t="s">
        <v>159</v>
      </c>
      <c r="B99" s="1">
        <v>892</v>
      </c>
      <c r="C99" s="1">
        <v>922</v>
      </c>
    </row>
    <row r="100" spans="1:3" x14ac:dyDescent="0.35">
      <c r="A100" t="s">
        <v>160</v>
      </c>
      <c r="B100" s="10">
        <v>221623</v>
      </c>
      <c r="C100" s="10">
        <v>240500</v>
      </c>
    </row>
    <row r="101" spans="1:3" x14ac:dyDescent="0.35">
      <c r="A101" t="s">
        <v>60</v>
      </c>
      <c r="B101" s="12">
        <v>368472</v>
      </c>
      <c r="C101" s="12">
        <v>401975</v>
      </c>
    </row>
    <row r="102" spans="1:3" x14ac:dyDescent="0.35">
      <c r="A102" t="s">
        <v>61</v>
      </c>
      <c r="B102" s="1"/>
      <c r="C102" s="1"/>
    </row>
    <row r="103" spans="1:3" x14ac:dyDescent="0.35">
      <c r="A103" t="s">
        <v>161</v>
      </c>
      <c r="B103" s="1">
        <v>3147</v>
      </c>
      <c r="C103" s="1">
        <v>3126</v>
      </c>
    </row>
    <row r="104" spans="1:3" x14ac:dyDescent="0.35">
      <c r="A104" t="s">
        <v>162</v>
      </c>
      <c r="B104" s="1">
        <v>51</v>
      </c>
      <c r="C104" s="1">
        <v>26</v>
      </c>
    </row>
    <row r="105" spans="1:3" x14ac:dyDescent="0.35">
      <c r="A105" t="s">
        <v>12</v>
      </c>
      <c r="B105" s="1"/>
      <c r="C105" s="1"/>
    </row>
    <row r="106" spans="1:3" x14ac:dyDescent="0.35">
      <c r="A106" t="s">
        <v>163</v>
      </c>
      <c r="B106" s="1"/>
      <c r="C106" s="1"/>
    </row>
    <row r="107" spans="1:3" x14ac:dyDescent="0.35">
      <c r="A107" t="s">
        <v>164</v>
      </c>
      <c r="B107" s="1">
        <v>7884</v>
      </c>
      <c r="C107" s="1">
        <v>7884</v>
      </c>
    </row>
    <row r="108" spans="1:3" x14ac:dyDescent="0.35">
      <c r="A108" t="s">
        <v>67</v>
      </c>
      <c r="B108" s="1">
        <v>14258</v>
      </c>
      <c r="C108" s="1">
        <v>13025</v>
      </c>
    </row>
    <row r="109" spans="1:3" x14ac:dyDescent="0.35">
      <c r="A109" t="s">
        <v>165</v>
      </c>
      <c r="B109" s="1">
        <v>-255</v>
      </c>
      <c r="C109" s="1">
        <v>-51</v>
      </c>
    </row>
    <row r="110" spans="1:3" x14ac:dyDescent="0.35">
      <c r="A110" t="s">
        <v>69</v>
      </c>
      <c r="B110" s="10">
        <v>425</v>
      </c>
      <c r="C110" s="10">
        <v>419</v>
      </c>
    </row>
    <row r="111" spans="1:3" x14ac:dyDescent="0.35">
      <c r="A111" s="2" t="s">
        <v>13</v>
      </c>
      <c r="B111" s="10">
        <v>25510</v>
      </c>
      <c r="C111" s="10">
        <v>24429</v>
      </c>
    </row>
    <row r="112" spans="1:3" x14ac:dyDescent="0.35">
      <c r="A112" s="2" t="s">
        <v>70</v>
      </c>
      <c r="B112" s="12">
        <v>393982</v>
      </c>
      <c r="C112" s="12">
        <v>426404</v>
      </c>
    </row>
    <row r="115" spans="1:9" x14ac:dyDescent="0.35">
      <c r="A115" t="s">
        <v>234</v>
      </c>
      <c r="B115" t="s">
        <v>65</v>
      </c>
      <c r="C115" t="s">
        <v>69</v>
      </c>
      <c r="D115" t="s">
        <v>67</v>
      </c>
      <c r="E115" t="s">
        <v>238</v>
      </c>
      <c r="F115" t="s">
        <v>239</v>
      </c>
      <c r="G115" t="s">
        <v>10</v>
      </c>
      <c r="H115" t="s">
        <v>9</v>
      </c>
      <c r="I115" t="s">
        <v>13</v>
      </c>
    </row>
    <row r="116" spans="1:9" x14ac:dyDescent="0.35">
      <c r="A116" s="2" t="s">
        <v>166</v>
      </c>
      <c r="B116" s="15">
        <v>7884</v>
      </c>
      <c r="C116" s="15">
        <v>419</v>
      </c>
      <c r="D116" s="15">
        <v>13025</v>
      </c>
      <c r="E116" s="15">
        <v>-51</v>
      </c>
      <c r="F116" s="15">
        <v>21277</v>
      </c>
      <c r="G116" s="15">
        <v>26</v>
      </c>
      <c r="H116" s="15">
        <v>3126</v>
      </c>
      <c r="I116" s="15">
        <v>24429</v>
      </c>
    </row>
    <row r="117" spans="1:9" x14ac:dyDescent="0.35">
      <c r="A117" t="s">
        <v>3</v>
      </c>
      <c r="B117" s="15" t="s">
        <v>11</v>
      </c>
      <c r="C117" s="15" t="s">
        <v>11</v>
      </c>
      <c r="D117" s="15">
        <v>2995</v>
      </c>
      <c r="E117" s="15" t="s">
        <v>11</v>
      </c>
      <c r="F117" s="15">
        <v>2995</v>
      </c>
      <c r="G117" s="15">
        <v>3</v>
      </c>
      <c r="H117" s="15">
        <v>184</v>
      </c>
      <c r="I117" s="15">
        <v>3182</v>
      </c>
    </row>
    <row r="118" spans="1:9" x14ac:dyDescent="0.35">
      <c r="A118" t="s">
        <v>189</v>
      </c>
      <c r="B118" s="16" t="s">
        <v>11</v>
      </c>
      <c r="C118" s="16" t="s">
        <v>11</v>
      </c>
      <c r="D118" s="16" t="s">
        <v>11</v>
      </c>
      <c r="E118" s="16">
        <v>-204</v>
      </c>
      <c r="F118" s="16">
        <v>-204</v>
      </c>
      <c r="G118" s="16">
        <v>1</v>
      </c>
      <c r="H118" s="16">
        <v>-163</v>
      </c>
      <c r="I118" s="16">
        <v>-366</v>
      </c>
    </row>
    <row r="119" spans="1:9" x14ac:dyDescent="0.35">
      <c r="B119" s="15">
        <v>7884</v>
      </c>
      <c r="C119" s="15">
        <v>419</v>
      </c>
      <c r="D119" s="15">
        <v>16020</v>
      </c>
      <c r="E119" s="15">
        <v>-255</v>
      </c>
      <c r="F119" s="15">
        <v>24068</v>
      </c>
      <c r="G119" s="15">
        <v>30</v>
      </c>
      <c r="H119" s="15">
        <v>3147</v>
      </c>
      <c r="I119" s="15">
        <v>27245</v>
      </c>
    </row>
    <row r="120" spans="1:9" x14ac:dyDescent="0.35">
      <c r="A120" t="s">
        <v>190</v>
      </c>
      <c r="B120" s="15" t="s">
        <v>11</v>
      </c>
      <c r="C120" s="15" t="s">
        <v>11</v>
      </c>
      <c r="D120" s="15">
        <v>-1770</v>
      </c>
      <c r="E120" s="15" t="s">
        <v>11</v>
      </c>
      <c r="F120" s="15">
        <v>-1770</v>
      </c>
      <c r="G120" s="15" t="s">
        <v>11</v>
      </c>
      <c r="H120" s="15" t="s">
        <v>11</v>
      </c>
      <c r="I120" s="15">
        <v>-1770</v>
      </c>
    </row>
    <row r="121" spans="1:9" x14ac:dyDescent="0.35">
      <c r="A121" t="s">
        <v>237</v>
      </c>
      <c r="B121" s="15" t="s">
        <v>11</v>
      </c>
      <c r="C121" s="15">
        <v>6</v>
      </c>
      <c r="D121" s="15" t="s">
        <v>11</v>
      </c>
      <c r="E121" s="15" t="s">
        <v>11</v>
      </c>
      <c r="F121" s="15">
        <v>6</v>
      </c>
      <c r="G121" s="15" t="s">
        <v>11</v>
      </c>
      <c r="H121" s="15" t="s">
        <v>11</v>
      </c>
      <c r="I121" s="15">
        <v>6</v>
      </c>
    </row>
    <row r="122" spans="1:9" x14ac:dyDescent="0.35">
      <c r="A122" t="s">
        <v>236</v>
      </c>
      <c r="B122" s="15" t="s">
        <v>11</v>
      </c>
      <c r="C122" s="15" t="s">
        <v>11</v>
      </c>
      <c r="D122" s="15" t="s">
        <v>11</v>
      </c>
      <c r="E122" s="15" t="s">
        <v>11</v>
      </c>
      <c r="F122" s="15" t="s">
        <v>11</v>
      </c>
      <c r="G122" s="15">
        <v>15</v>
      </c>
      <c r="H122" s="15" t="s">
        <v>11</v>
      </c>
      <c r="I122" s="15">
        <v>15</v>
      </c>
    </row>
    <row r="123" spans="1:9" x14ac:dyDescent="0.35">
      <c r="A123" t="s">
        <v>235</v>
      </c>
      <c r="B123" s="15" t="s">
        <v>11</v>
      </c>
      <c r="C123" s="15" t="s">
        <v>11</v>
      </c>
      <c r="D123" s="15">
        <v>8</v>
      </c>
      <c r="E123" s="15" t="s">
        <v>11</v>
      </c>
      <c r="F123" s="15">
        <v>8</v>
      </c>
      <c r="G123" s="15">
        <v>6</v>
      </c>
      <c r="H123" s="15" t="s">
        <v>11</v>
      </c>
      <c r="I123" s="15">
        <v>14</v>
      </c>
    </row>
    <row r="124" spans="1:9" x14ac:dyDescent="0.35">
      <c r="A124" s="2" t="s">
        <v>167</v>
      </c>
      <c r="B124" s="15">
        <v>7884</v>
      </c>
      <c r="C124" s="15">
        <v>425</v>
      </c>
      <c r="D124" s="15">
        <v>14258</v>
      </c>
      <c r="E124" s="15">
        <v>-255</v>
      </c>
      <c r="F124" s="15">
        <v>22312</v>
      </c>
      <c r="G124" s="15">
        <v>51</v>
      </c>
      <c r="H124" s="15">
        <v>3147</v>
      </c>
      <c r="I124" s="15">
        <v>25510</v>
      </c>
    </row>
    <row r="127" spans="1:9" x14ac:dyDescent="0.35">
      <c r="A127" t="s">
        <v>224</v>
      </c>
      <c r="B127" t="s">
        <v>104</v>
      </c>
      <c r="C127" t="s">
        <v>215</v>
      </c>
    </row>
    <row r="128" spans="1:9" x14ac:dyDescent="0.35">
      <c r="A128" s="2" t="s">
        <v>109</v>
      </c>
      <c r="B128" s="1"/>
      <c r="C128" s="1"/>
    </row>
    <row r="129" spans="1:3" x14ac:dyDescent="0.35">
      <c r="A129" t="s">
        <v>27</v>
      </c>
      <c r="B129" s="1">
        <v>3381</v>
      </c>
      <c r="C129" s="1">
        <v>3448</v>
      </c>
    </row>
    <row r="130" spans="1:3" x14ac:dyDescent="0.35">
      <c r="A130" t="s">
        <v>71</v>
      </c>
      <c r="B130" s="1">
        <v>-326</v>
      </c>
      <c r="C130" s="1">
        <v>-360</v>
      </c>
    </row>
    <row r="131" spans="1:3" x14ac:dyDescent="0.35">
      <c r="A131" t="s">
        <v>72</v>
      </c>
      <c r="B131" s="1"/>
      <c r="C131" s="1"/>
    </row>
    <row r="132" spans="1:3" x14ac:dyDescent="0.35">
      <c r="A132" t="s">
        <v>168</v>
      </c>
      <c r="B132" s="1">
        <v>-12992</v>
      </c>
      <c r="C132" s="1">
        <v>3579</v>
      </c>
    </row>
    <row r="133" spans="1:3" x14ac:dyDescent="0.35">
      <c r="A133" t="s">
        <v>169</v>
      </c>
      <c r="B133" s="1">
        <v>-491</v>
      </c>
      <c r="C133" s="1">
        <v>555</v>
      </c>
    </row>
    <row r="134" spans="1:3" x14ac:dyDescent="0.35">
      <c r="A134" t="s">
        <v>170</v>
      </c>
      <c r="B134" s="1">
        <v>-354</v>
      </c>
      <c r="C134" s="1">
        <v>-146</v>
      </c>
    </row>
    <row r="135" spans="1:3" x14ac:dyDescent="0.35">
      <c r="A135" t="s">
        <v>171</v>
      </c>
      <c r="B135" s="1">
        <v>1972</v>
      </c>
      <c r="C135" s="1">
        <v>1056</v>
      </c>
    </row>
    <row r="136" spans="1:3" x14ac:dyDescent="0.35">
      <c r="A136" t="s">
        <v>78</v>
      </c>
      <c r="B136" s="1">
        <v>16011</v>
      </c>
      <c r="C136" s="1">
        <v>1240</v>
      </c>
    </row>
    <row r="137" spans="1:3" x14ac:dyDescent="0.35">
      <c r="A137" t="s">
        <v>81</v>
      </c>
      <c r="B137" s="10">
        <v>-860</v>
      </c>
      <c r="C137" s="10">
        <v>-123</v>
      </c>
    </row>
    <row r="138" spans="1:3" x14ac:dyDescent="0.35">
      <c r="B138" s="1">
        <v>6341</v>
      </c>
      <c r="C138" s="1">
        <v>9249</v>
      </c>
    </row>
    <row r="139" spans="1:3" x14ac:dyDescent="0.35">
      <c r="A139" s="2" t="s">
        <v>82</v>
      </c>
      <c r="B139" s="1"/>
      <c r="C139" s="1"/>
    </row>
    <row r="140" spans="1:3" x14ac:dyDescent="0.35">
      <c r="A140" t="s">
        <v>83</v>
      </c>
      <c r="B140" s="1">
        <v>-1770</v>
      </c>
      <c r="C140" s="1">
        <v>-1590</v>
      </c>
    </row>
    <row r="141" spans="1:3" x14ac:dyDescent="0.35">
      <c r="B141" s="1"/>
      <c r="C141" s="1"/>
    </row>
    <row r="142" spans="1:3" x14ac:dyDescent="0.35">
      <c r="A142" s="2" t="s">
        <v>84</v>
      </c>
      <c r="B142" s="1"/>
      <c r="C142" s="1"/>
    </row>
    <row r="143" spans="1:3" x14ac:dyDescent="0.35">
      <c r="A143" t="s">
        <v>172</v>
      </c>
      <c r="B143" s="1">
        <v>15714</v>
      </c>
      <c r="C143" s="1">
        <v>19389</v>
      </c>
    </row>
    <row r="144" spans="1:3" x14ac:dyDescent="0.35">
      <c r="A144" t="s">
        <v>173</v>
      </c>
      <c r="B144" s="1">
        <v>2398</v>
      </c>
      <c r="C144" s="1">
        <v>2651</v>
      </c>
    </row>
    <row r="145" spans="1:3" x14ac:dyDescent="0.35">
      <c r="A145" t="s">
        <v>174</v>
      </c>
      <c r="B145" s="1">
        <v>4129</v>
      </c>
      <c r="C145" s="1">
        <v>6220</v>
      </c>
    </row>
    <row r="146" spans="1:3" x14ac:dyDescent="0.35">
      <c r="A146" t="s">
        <v>175</v>
      </c>
      <c r="B146" s="1">
        <v>55</v>
      </c>
      <c r="C146" s="1">
        <v>40</v>
      </c>
    </row>
    <row r="147" spans="1:3" x14ac:dyDescent="0.35">
      <c r="A147" t="s">
        <v>176</v>
      </c>
      <c r="B147" s="1">
        <v>-156</v>
      </c>
      <c r="C147" s="1">
        <v>-34</v>
      </c>
    </row>
    <row r="148" spans="1:3" x14ac:dyDescent="0.35">
      <c r="A148" t="s">
        <v>177</v>
      </c>
      <c r="B148" s="1">
        <v>-6</v>
      </c>
      <c r="C148" s="1">
        <v>-380</v>
      </c>
    </row>
    <row r="149" spans="1:3" x14ac:dyDescent="0.35">
      <c r="A149" t="s">
        <v>178</v>
      </c>
      <c r="B149" s="1">
        <v>-17493</v>
      </c>
      <c r="C149" s="1">
        <v>-23790</v>
      </c>
    </row>
    <row r="150" spans="1:3" x14ac:dyDescent="0.35">
      <c r="A150" t="s">
        <v>179</v>
      </c>
      <c r="B150" s="1">
        <v>-4018</v>
      </c>
      <c r="C150" s="1">
        <v>-3726</v>
      </c>
    </row>
    <row r="151" spans="1:3" x14ac:dyDescent="0.35">
      <c r="A151" t="s">
        <v>180</v>
      </c>
      <c r="B151" s="1">
        <v>-3980</v>
      </c>
      <c r="C151" s="1">
        <v>-6819</v>
      </c>
    </row>
    <row r="152" spans="1:3" x14ac:dyDescent="0.35">
      <c r="A152" t="s">
        <v>181</v>
      </c>
      <c r="B152" s="10">
        <v>-710</v>
      </c>
      <c r="C152" s="10">
        <v>-970</v>
      </c>
    </row>
    <row r="153" spans="1:3" x14ac:dyDescent="0.35">
      <c r="B153" s="1">
        <v>-4067</v>
      </c>
      <c r="C153" s="1">
        <v>-7419</v>
      </c>
    </row>
    <row r="154" spans="1:3" x14ac:dyDescent="0.35">
      <c r="A154" t="s">
        <v>86</v>
      </c>
      <c r="B154" s="1">
        <v>-14</v>
      </c>
      <c r="C154" s="1">
        <v>-74</v>
      </c>
    </row>
    <row r="155" spans="1:3" x14ac:dyDescent="0.35">
      <c r="A155" s="2" t="s">
        <v>87</v>
      </c>
      <c r="B155" s="1">
        <v>490</v>
      </c>
      <c r="C155" s="1">
        <v>166</v>
      </c>
    </row>
    <row r="156" spans="1:3" x14ac:dyDescent="0.35">
      <c r="A156" s="2" t="s">
        <v>88</v>
      </c>
      <c r="B156" s="10">
        <v>3271</v>
      </c>
      <c r="C156" s="10">
        <v>3105</v>
      </c>
    </row>
    <row r="157" spans="1:3" x14ac:dyDescent="0.35">
      <c r="A157" s="2" t="s">
        <v>89</v>
      </c>
      <c r="B157" s="12">
        <v>3761</v>
      </c>
      <c r="C157" s="12">
        <v>3271</v>
      </c>
    </row>
    <row r="158" spans="1:3" x14ac:dyDescent="0.35">
      <c r="A158" s="2" t="s">
        <v>90</v>
      </c>
      <c r="B158" s="1"/>
      <c r="C158" s="1"/>
    </row>
    <row r="159" spans="1:3" x14ac:dyDescent="0.35">
      <c r="A159" t="s">
        <v>91</v>
      </c>
      <c r="B159" s="1">
        <v>3661</v>
      </c>
      <c r="C159" s="1">
        <v>3662</v>
      </c>
    </row>
    <row r="160" spans="1:3" x14ac:dyDescent="0.35">
      <c r="A160" t="s">
        <v>92</v>
      </c>
      <c r="B160" s="1">
        <v>116</v>
      </c>
      <c r="C160" s="1">
        <v>118</v>
      </c>
    </row>
    <row r="161" spans="1:3" x14ac:dyDescent="0.35">
      <c r="A161" t="s">
        <v>93</v>
      </c>
      <c r="B161" s="1">
        <v>352</v>
      </c>
      <c r="C161" s="1">
        <v>344</v>
      </c>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2CB0-3C74-48F6-A0FC-1C79BE7E1C5C}">
  <dimension ref="A1:E17"/>
  <sheetViews>
    <sheetView tabSelected="1" workbookViewId="0">
      <selection activeCell="A5" sqref="A5"/>
    </sheetView>
  </sheetViews>
  <sheetFormatPr defaultRowHeight="14.5" x14ac:dyDescent="0.35"/>
  <cols>
    <col min="1" max="1" width="47.453125" bestFit="1" customWidth="1"/>
    <col min="2" max="2" width="12.36328125" customWidth="1"/>
    <col min="3" max="3" width="14.453125" customWidth="1"/>
    <col min="4" max="4" width="15.6328125" customWidth="1"/>
    <col min="5" max="5" width="16.90625" customWidth="1"/>
  </cols>
  <sheetData>
    <row r="1" spans="1:5" x14ac:dyDescent="0.35">
      <c r="A1" t="s">
        <v>241</v>
      </c>
      <c r="B1" t="s">
        <v>104</v>
      </c>
      <c r="C1" t="s">
        <v>103</v>
      </c>
      <c r="D1" t="s">
        <v>183</v>
      </c>
      <c r="E1" t="s">
        <v>182</v>
      </c>
    </row>
    <row r="2" spans="1:5" x14ac:dyDescent="0.35">
      <c r="A2" t="s">
        <v>240</v>
      </c>
      <c r="B2" s="1" cm="1">
        <f t="array" ref="B2">_xlfn.XLOOKUP(A2,CL2023_Consolidated_Statements_Of_Earnings[[#All],[Consolidated Statements of Earnings (in Canadian $ millions)]],CL2023_Consolidated_Statements_Of_Earnings[[#All],[2022]],"Not Found",0)</f>
        <v>19424</v>
      </c>
      <c r="C2" s="1" cm="1">
        <f t="array" ref="C2">_xlfn.XLOOKUP(A2,CL2023_Consolidated_Statements_Of_Earnings[[#All],[Consolidated Statements of Earnings (in Canadian $ millions)]],CL2023_Consolidated_Statements_Of_Earnings[[#All],[2023]],"Not Found", 0)</f>
        <v>20188</v>
      </c>
      <c r="D2" s="1" cm="1">
        <f t="array" ref="D2">_xlfn.XLOOKUP(A2,CL2024_Consolidated_Statement_Of_Earnings[[#All],[Consolidated Statements of Earnings (in Canadian $ millions)]],CL2024_Consolidated_Statement_Of_Earnings[[#All],[2024]],"Not Found", 0)</f>
        <v>21007</v>
      </c>
      <c r="E2" s="1">
        <f>_xlfn.XLOOKUP(A2,CL2025_Consolidated_Statements_Of_Earnings[Consolidated Statements Of Earnings (in Canadian $ Million)],CL2025_Consolidated_Statements_Of_Earnings[2025],"Not Found",0)</f>
        <v>22131</v>
      </c>
    </row>
    <row r="3" spans="1:5" x14ac:dyDescent="0.35">
      <c r="A3" t="s">
        <v>242</v>
      </c>
      <c r="B3" s="1" cm="1">
        <f t="array" ref="B3">_xlfn.XLOOKUP(A3,CL2023_Consolidated_Statements_Of_Earnings[[#All],[Consolidated Statements of Earnings (in Canadian $ millions)]],CL2023_Consolidated_Statements_Of_Earnings[[#All],[2022]],"Not Found",0)</f>
        <v>-15110</v>
      </c>
      <c r="C3" s="1" cm="1">
        <f t="array" ref="C3">_xlfn.XLOOKUP(A3,CL2023_Consolidated_Statements_Of_Earnings[[#All],[Consolidated Statements of Earnings (in Canadian $ millions)]],CL2023_Consolidated_Statements_Of_Earnings[[#All],[2023]],"Not Found",0)</f>
        <v>-15622</v>
      </c>
      <c r="D3" s="1">
        <f>_xlfn.XLOOKUP(A3,CL2024_Consolidated_Statement_Of_Earnings[Consolidated Statements of Earnings (in Canadian $ millions)],CL2024_Consolidated_Statement_Of_Earnings[2024],"Not Found",0)</f>
        <v>-16165</v>
      </c>
      <c r="E3" s="1">
        <f>_xlfn.XLOOKUP(A3,CL2025_Consolidated_Statements_Of_Earnings[Consolidated Statements Of Earnings (in Canadian $ Million)],CL2025_Consolidated_Statements_Of_Earnings[2025],"Not Found",0)</f>
        <v>-17002</v>
      </c>
    </row>
    <row r="4" spans="1:5" x14ac:dyDescent="0.35">
      <c r="A4" t="s">
        <v>4</v>
      </c>
      <c r="B4" s="1">
        <f>SUM('CL 2023 (Original)'!C26:C28)</f>
        <v>2766</v>
      </c>
      <c r="C4" s="1">
        <f>SUM('CL 2023 (Original)'!B26:B28)</f>
        <v>3002</v>
      </c>
      <c r="D4" s="1">
        <f>SUM('CL 2024 (Original)'!B26:B28)</f>
        <v>3258</v>
      </c>
      <c r="E4" s="1">
        <f>SUM('CL 2025 (Original)'!B26:B28)</f>
        <v>3450</v>
      </c>
    </row>
    <row r="5" spans="1:5" x14ac:dyDescent="0.35">
      <c r="A5" t="s">
        <v>243</v>
      </c>
      <c r="B5" s="1" cm="1">
        <f t="array" ref="B5">_xlfn.XLOOKUP(A5,CL2023_Consolidated_Statements_Of_Earnings[[#All],[Consolidated Statements of Earnings (in Canadian $ millions)]],CL2023_Consolidated_Statements_Of_Earnings[[#All],[2022]],"Not Found",0)</f>
        <v>-2221</v>
      </c>
      <c r="C5" s="1" cm="1">
        <f t="array" ref="C5">_xlfn.XLOOKUP(A5,CL2023_Consolidated_Statements_Of_Earnings[[#All],[Consolidated Statements of Earnings (in Canadian $ millions)]],CL2023_Consolidated_Statements_Of_Earnings[[#All],[2023]],"Not Found",0)</f>
        <v>-2635</v>
      </c>
      <c r="D5" s="1" cm="1">
        <f t="array" ref="D5">_xlfn.XLOOKUP(A5,CL2024_Consolidated_Statement_Of_Earnings[[#All],[Consolidated Statements of Earnings (in Canadian $ millions)]],CL2024_Consolidated_Statement_Of_Earnings[[#All],[2024]],"Not Found",0)</f>
        <v>-3088</v>
      </c>
      <c r="E5" s="1" cm="1">
        <f t="array" ref="E5">_xlfn.XLOOKUP(A5,CL2025_Consolidated_Statements_Of_Earnings[[#All],[Consolidated Statements Of Earnings (in Canadian $ Million)]],CL2025_Consolidated_Statements_Of_Earnings[[#All],[2025]],"Not Found",0)</f>
        <v>-3408</v>
      </c>
    </row>
    <row r="6" spans="1:5" x14ac:dyDescent="0.35">
      <c r="A6" t="s">
        <v>3</v>
      </c>
      <c r="B6" s="1" cm="1">
        <f t="array" ref="B6">_xlfn.XLOOKUP(A6,CL2023_Consolidated_Statements_Of_Earnings[[#All],[Consolidated Statements of Earnings (in Canadian $ millions)]],CL2023_Consolidated_Statements_Of_Earnings[[#All],[2022]],"Not Found",0)</f>
        <v>3286</v>
      </c>
      <c r="C6" s="1" cm="1">
        <f t="array" ref="C6">_xlfn.XLOOKUP(A6,CL2023_Consolidated_Statements_Of_Earnings[[#All],[Consolidated Statements of Earnings (in Canadian $ millions)]],CL2023_Consolidated_Statements_Of_Earnings[[#All],[2023]],"Not Found",0)</f>
        <v>2418</v>
      </c>
      <c r="D6" s="1" cm="1">
        <f t="array" ref="D6">_xlfn.XLOOKUP(A6,CL2024_Consolidated_Statement_Of_Earnings[[#All],[Consolidated Statements of Earnings (in Canadian $ millions)]],CL2024_Consolidated_Statement_Of_Earnings[[#All],[2024]],"Not Found",0)</f>
        <v>3247</v>
      </c>
      <c r="E6" s="1" cm="1">
        <f t="array" ref="E6">_xlfn.XLOOKUP(A6,CL2025_Consolidated_Statements_Of_Earnings[[#All],[Consolidated Statements Of Earnings (in Canadian $ Million)]],CL2025_Consolidated_Statements_Of_Earnings[[#All],[2025]],"Not Found",0)</f>
        <v>2766</v>
      </c>
    </row>
    <row r="7" spans="1:5" x14ac:dyDescent="0.35">
      <c r="A7" t="s">
        <v>7</v>
      </c>
      <c r="B7" s="1" cm="1">
        <f t="array" ref="B7">_xlfn.XLOOKUP(A7,CL2023_Consolidated_Balance_Sheets[[#All],[Consolidated Balance Sheets (in Canadian $ millions)]],CL2023_Consolidated_Balance_Sheets[[#All],[2022]],"Not Found", 0)</f>
        <v>378654</v>
      </c>
      <c r="C7" s="1" cm="1">
        <f t="array" ref="C7">_xlfn.XLOOKUP(A7,CL2023_Consolidated_Balance_Sheets[[#All],[Consolidated Balance Sheets (in Canadian $ millions)]],CL2023_Consolidated_Balance_Sheets[[#All],[2023]],"Not Found",0)</f>
        <v>410616</v>
      </c>
      <c r="D7" s="1" cm="1">
        <f t="array" ref="D7">_xlfn.XLOOKUP(A7,CL2024_Consolidated_Balance_Sheet[[#All],[Consolidated Balance Sheet  (in Canadian $ millions)]],CL2024_Consolidated_Balance_Sheet[[#All],[2024]],"Not Found",0)</f>
        <v>461204</v>
      </c>
      <c r="E7" s="1" cm="1">
        <f t="array" ref="E7">_xlfn.XLOOKUP(A7,CL2025_Consolidated_Balance_Sheet[[#All],[Consolidated Balance Sheet  (in Canadian $ Million)]],CL2025_Consolidated_Balance_Sheet[[#All],[2025]],"Not Found",0)</f>
        <v>505652</v>
      </c>
    </row>
    <row r="8" spans="1:5" x14ac:dyDescent="0.35">
      <c r="A8" t="s">
        <v>60</v>
      </c>
      <c r="B8" s="1" cm="1">
        <f t="array" ref="B8">_xlfn.XLOOKUP(A8,CL2023_Consolidated_Balance_Sheets[[#All],[Consolidated Balance Sheets (in Canadian $ millions)]],CL2023_Consolidated_Balance_Sheets[[#All],[2022]],"Not Found",0)</f>
        <v>355866</v>
      </c>
      <c r="C8" s="1" cm="1">
        <f t="array" ref="C8">_xlfn.XLOOKUP(A8,CL2023_Consolidated_Balance_Sheets[[#All],[Consolidated Balance Sheets (in Canadian $ millions)]],CL2023_Consolidated_Balance_Sheets[[#All],[2023]],"Not Found",0)</f>
        <v>387943</v>
      </c>
      <c r="D8" s="1" cm="1">
        <f t="array" ref="D8">_xlfn.XLOOKUP(A8,CL2024_Consolidated_Balance_Sheet[[#All],[Consolidated Balance Sheet  (in Canadian $ millions)]],CL2024_Consolidated_Balance_Sheet[[#All],[2024]],"Not Found",0)</f>
        <v>437242</v>
      </c>
      <c r="E8" s="1" cm="1">
        <f t="array" ref="E8">_xlfn.XLOOKUP(A8,CL2025_Consolidated_Balance_Sheet[[#All],[Consolidated Balance Sheet  (in Canadian $ Million)]],CL2025_Consolidated_Balance_Sheet[[#All],[2025]],"Not Found",0)</f>
        <v>481632</v>
      </c>
    </row>
    <row r="9" spans="1:5" x14ac:dyDescent="0.35">
      <c r="A9" t="s">
        <v>12</v>
      </c>
      <c r="B9" s="1" cm="1">
        <f t="array" ref="B9">_xlfn.XLOOKUP(A9,CL2023_Financial_Highlights[[#All],[Financial Highlights (unaudited) (in Canadian $ millions)]],CL2023_Financial_Highlights[[#All],[2022]],"Not Found",0)</f>
        <v>20004</v>
      </c>
      <c r="C9" s="1" cm="1">
        <f t="array" ref="C9">_xlfn.XLOOKUP(A9,CL2023_Financial_Highlights[[#All],[Financial Highlights (unaudited) (in Canadian $ millions)]],CL2023_Financial_Highlights[[#All],[2023]],"Not Found",0)</f>
        <v>19813</v>
      </c>
      <c r="D9" s="1" cm="1">
        <f t="array" ref="D9">_xlfn.XLOOKUP(A9,CL2024_Financial_Highlights[[#All],[Financial Highlights (in Canadian $ millions)]],CL2024_Financial_Highlights[[#All],[2024]],"Not Found",0)</f>
        <v>20909</v>
      </c>
      <c r="E9" s="1" cm="1">
        <f t="array" ref="E9">_xlfn.XLOOKUP(A9,CL2025_Financial_Highlights[[#All],[Financial Highlights (Unaudited) (in Canadian $ Million)]],CL2025_Financial_Highlights[[#All],[2025]],"Not Found",0)</f>
        <v>20938</v>
      </c>
    </row>
    <row r="10" spans="1:5" x14ac:dyDescent="0.35">
      <c r="A10" t="s">
        <v>244</v>
      </c>
      <c r="B10" s="1" cm="1">
        <f t="array" ref="B10">_xlfn.XLOOKUP(A10,CL2023_Consolidated_Balance_Sheets[[#All],[Consolidated Balance Sheets (in Canadian $ millions)]],CL2023_Consolidated_Balance_Sheets[[#All],[2022]],"Not Found",0)</f>
        <v>3761</v>
      </c>
      <c r="C10" s="1" cm="1">
        <f t="array" ref="C10">_xlfn.XLOOKUP(A10,CL2023_Consolidated_Balance_Sheets[[#All],[Consolidated Balance Sheets (in Canadian $ millions)]],CL2023_Consolidated_Balance_Sheets[[#All],[2023]],"Not Found",0)</f>
        <v>3944</v>
      </c>
      <c r="D10" s="1" cm="1">
        <f t="array" ref="D10">_xlfn.XLOOKUP(A10,CL2024_Consolidated_Balance_Sheet[[#All],[Consolidated Balance Sheet  (in Canadian $ millions)]],CL2024_Consolidated_Balance_Sheet[[#All],[2024]],"Not Found",0)</f>
        <v>4522</v>
      </c>
      <c r="E10" s="1" cm="1">
        <f t="array" ref="E10">_xlfn.XLOOKUP(A10,CL2025_Consolidated_Balance_Sheet[[#All],[Consolidated Balance Sheet  (in Canadian $ Million)]],CL2025_Consolidated_Balance_Sheet[[#All],[2025]],"Not Found",0)</f>
        <v>4679</v>
      </c>
    </row>
    <row r="11" spans="1:5" x14ac:dyDescent="0.35">
      <c r="A11" t="s">
        <v>245</v>
      </c>
      <c r="B11" s="1" cm="1">
        <f t="array" ref="B11">_xlfn.XLOOKUP(A11,CL2023_Consolidated_Balance_Sheets[[#All],[Consolidated Balance Sheets (in Canadian $ millions)]],CL2023_Consolidated_Balance_Sheets[[#All],[2022]],"Not Found",0)</f>
        <v>747</v>
      </c>
      <c r="C11" s="1" cm="1">
        <f t="array" ref="C11">_xlfn.XLOOKUP(A11,CL2023_Consolidated_Balance_Sheets[[#All],[Consolidated Balance Sheets (in Canadian $ millions)]],CL2023_Consolidated_Balance_Sheets[[#All],[2023]],"Not Found",0)</f>
        <v>748</v>
      </c>
      <c r="D11" s="1" cm="1">
        <f t="array" ref="D11">_xlfn.XLOOKUP(A11,CL2024_Consolidated_Balance_Sheet[[#All],[Consolidated Balance Sheet  (in Canadian $ millions)]],CL2024_Consolidated_Balance_Sheet[[#All],[2024]],"Not Found",0)</f>
        <v>807</v>
      </c>
      <c r="E11" s="1" cm="1">
        <f t="array" ref="E11">_xlfn.XLOOKUP(A11,CL2025_Consolidated_Balance_Sheet[[#All],[Consolidated Balance Sheet  (in Canadian $ Million)]],CL2025_Consolidated_Balance_Sheet[[#All],[2025]],"Not Found",0)</f>
        <v>827</v>
      </c>
    </row>
    <row r="12" spans="1:5" x14ac:dyDescent="0.35">
      <c r="A12" t="s">
        <v>246</v>
      </c>
      <c r="B12" s="1">
        <f>'CL 2023 (Original)'!C137</f>
        <v>2343</v>
      </c>
      <c r="C12" s="1">
        <f>'CL 2023 (Original)'!B137</f>
        <v>3836</v>
      </c>
      <c r="D12" s="1">
        <f>'CL 2024 (Original)'!B132</f>
        <v>3347</v>
      </c>
      <c r="E12" s="1">
        <f>'CL 2025 (Original)'!B135</f>
        <v>3251</v>
      </c>
    </row>
    <row r="13" spans="1:5" x14ac:dyDescent="0.35">
      <c r="A13" t="s">
        <v>8</v>
      </c>
      <c r="B13" s="1" cm="1">
        <f t="array" ref="B13">_xlfn.XLOOKUP(A13,CL2023_Financial_Highlights[[#All],[Financial Highlights (unaudited) (in Canadian $ millions)]],CL2023_Financial_Highlights[[#All],[2022]],"Not Found",0)</f>
        <v>12496</v>
      </c>
      <c r="C13" s="1" cm="1">
        <f t="array" ref="C13">_xlfn.XLOOKUP(A13,CL2023_Financial_Highlights[[#All],[Financial Highlights (unaudited) (in Canadian $ millions)]],CL2023_Financial_Highlights[[#All],[2023]],"Not Found",0)</f>
        <v>12458</v>
      </c>
      <c r="D13" s="1" cm="1">
        <f t="array" ref="D13">_xlfn.XLOOKUP(A13,CL2024_Financial_Highlights[[#All],[Financial Highlights (in Canadian $ millions)]],CL2024_Financial_Highlights[[#All],[2024]],"Not Found",0)</f>
        <v>13243</v>
      </c>
      <c r="E13" s="1" cm="1">
        <f t="array" ref="E13">_xlfn.XLOOKUP(A13,CL2025_Financial_Highlights[[#All],[Financial Highlights (Unaudited) (in Canadian $ Million)]],CL2025_Financial_Highlights[[#All],[2025]],"Not Found",0)</f>
        <v>13494</v>
      </c>
    </row>
    <row r="14" spans="1:5" x14ac:dyDescent="0.35">
      <c r="A14" t="s">
        <v>12</v>
      </c>
      <c r="B14" s="1" cm="1">
        <f t="array" ref="B14">_xlfn.XLOOKUP(A14,CL2023_Financial_Highlights[[#All],[Financial Highlights (unaudited) (in Canadian $ millions)]],CL2023_Financial_Highlights[[#All],[2022]],"Not Found",0)</f>
        <v>20004</v>
      </c>
      <c r="C14" s="1" cm="1">
        <f t="array" ref="C14">_xlfn.XLOOKUP(A14,CL2023_Financial_Highlights[[#All],[Financial Highlights (unaudited) (in Canadian $ millions)]],CL2023_Financial_Highlights[[#All],[2023]],"Not Found",0)</f>
        <v>19813</v>
      </c>
      <c r="D14" s="1" cm="1">
        <f t="array" ref="D14">_xlfn.XLOOKUP(A14,CL2024_Financial_Highlights[[#All],[Financial Highlights (in Canadian $ millions)]],CL2024_Financial_Highlights[[#All],[2024]],"Not Found",0)</f>
        <v>20909</v>
      </c>
      <c r="E14" s="1" cm="1">
        <f t="array" ref="E14">_xlfn.XLOOKUP(A14,CL2025_Financial_Highlights[[#All],[Financial Highlights (Unaudited) (in Canadian $ Million)]],CL2025_Financial_Highlights[[#All],[2025]],"Not Found",0)</f>
        <v>20938</v>
      </c>
    </row>
    <row r="15" spans="1:5" x14ac:dyDescent="0.35">
      <c r="A15" t="s">
        <v>13</v>
      </c>
      <c r="B15" s="1" cm="1">
        <f t="array" ref="B15">_xlfn.XLOOKUP(A15,CL2023_Financial_Highlights[[#All],[Financial Highlights (unaudited) (in Canadian $ millions)]],CL2023_Financial_Highlights[[#All],[2022]],"Not Found",0)</f>
        <v>22788</v>
      </c>
      <c r="C15" s="1" cm="1">
        <f t="array" ref="C15">_xlfn.XLOOKUP(A15,CL2023_Financial_Highlights[[#All],[Financial Highlights (unaudited) (in Canadian $ millions)]],CL2023_Financial_Highlights[[#All],[2023]],"Not Found",0)</f>
        <v>22673</v>
      </c>
      <c r="D15" s="1" cm="1">
        <f t="array" ref="D15">_xlfn.XLOOKUP(A15,CL2024_Financial_Highlights[[#All],[Financial Highlights (in Canadian $ millions)]],CL2024_Financial_Highlights[[#All],[2024]],"Not Found",0)</f>
        <v>23962</v>
      </c>
      <c r="E15" s="1" cm="1">
        <f t="array" ref="E15">_xlfn.XLOOKUP(A15,CL2025_Financial_Highlights[[#All],[Financial Highlights (Unaudited) (in Canadian $ Million)]],CL2025_Financial_Highlights[[#All],[2025]],"Not Found",0)</f>
        <v>24020</v>
      </c>
    </row>
    <row r="16" spans="1:5" x14ac:dyDescent="0.35">
      <c r="A16" t="s">
        <v>83</v>
      </c>
      <c r="B16" s="1" cm="1">
        <f t="array" ref="B16">_xlfn.XLOOKUP(A16,CL2023_Consolidated_Statements_Of_Cash_Flows[[#All],[Consolidated Statements of Cash Flows (in Canadian $ millions)]],CL2023_Consolidated_Statements_Of_Cash_Flows[[#All],[2022]],"Not Found",0)</f>
        <v>-1770</v>
      </c>
      <c r="C16" s="1" cm="1">
        <f t="array" ref="C16">_xlfn.XLOOKUP(A16,CL2023_Consolidated_Statements_Of_Cash_Flows[[#All],[Consolidated Statements of Cash Flows (in Canadian $ millions)]],CL2023_Consolidated_Statements_Of_Cash_Flows[[#All],[2023]],"Not Found",0)</f>
        <v>-2934</v>
      </c>
      <c r="D16" s="1" cm="1">
        <f t="array" ref="D16">_xlfn.XLOOKUP(A16,CL2024_Consolidated_Statements_Of_Cash_Flow[[#All],[Consolidated Statements of Cash Flow  (in Canadian $ millions)]],CL2024_Consolidated_Statements_Of_Cash_Flow[[#All],[2024]],"Not Found",0)</f>
        <v>-2838</v>
      </c>
      <c r="E16" s="1" cm="1">
        <f t="array" ref="E16">_xlfn.XLOOKUP(A16,CL2025_Consolidated_Statements_Of_Cash_Flow[[#All],[Consolidated Statements of Cash Flow]],CL2025_Consolidated_Statements_Of_Cash_Flow[[#All],[2025]],"Not Found",0)</f>
        <v>-3150</v>
      </c>
    </row>
    <row r="17" spans="1:5" x14ac:dyDescent="0.35">
      <c r="A17" t="s">
        <v>204</v>
      </c>
      <c r="B17" s="24" cm="1">
        <f t="array" ref="B17">_xlfn.XLOOKUP(A17,CL2023_Financial_Highlights[[#All],[Financial Highlights (unaudited) (in Canadian $ millions)]],CL2023_Financial_Highlights[[#All],[2022]],"Not Found",0)</f>
        <v>1.2</v>
      </c>
      <c r="C17" s="24" cm="1">
        <f t="array" ref="C17">_xlfn.XLOOKUP(A17,CL2023_Financial_Highlights[[#All],[Financial Highlights (unaudited) (in Canadian $ millions)]],CL2023_Financial_Highlights[[#All],[2023]],"Not Found",0)</f>
        <v>1.28</v>
      </c>
      <c r="D17" s="24" cm="1">
        <f t="array" ref="D17">_xlfn.XLOOKUP(A17,CL2024_Financial_Highlights[[#All],[Financial Highlights (in Canadian $ millions)]],CL2024_Financial_Highlights[[#All],[2024]],"Not Found",0)</f>
        <v>1.3</v>
      </c>
      <c r="E17" s="24" cm="1">
        <f t="array" ref="E17">_xlfn.XLOOKUP(A17,CL2025_Financial_Highlights[[#All],[Financial Highlights (Unaudited) (in Canadian $ Million)]],CL2025_Financial_Highlights[[#All],[2025]],"Not Found",0)</f>
        <v>1.28</v>
      </c>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3CDC7D-CFA4-4634-85CA-DA4223BD57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 2025 (Original)</vt:lpstr>
      <vt:lpstr>CL 2024 (Original)</vt:lpstr>
      <vt:lpstr>CL 2023 (Original)</vt:lpstr>
      <vt:lpstr>CL 2022 (Original)</vt:lpstr>
      <vt:lpstr>CL Consolidated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Eugene</dc:creator>
  <cp:lastModifiedBy>Han, Eugene</cp:lastModifiedBy>
  <dcterms:created xsi:type="dcterms:W3CDTF">2026-08-30T18:41:48Z</dcterms:created>
  <dcterms:modified xsi:type="dcterms:W3CDTF">2026-09-06T01:34:25Z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7bbe84-2447-47ed-9f95-d9c34bc076ba_Enabled">
    <vt:lpwstr>true</vt:lpwstr>
  </property>
  <property fmtid="{D5CDD505-2E9C-101B-9397-08002B2CF9AE}" pid="3" name="MSIP_Label_b07bbe84-2447-47ed-9f95-d9c34bc076ba_SetDate">
    <vt:lpwstr>2026-08-30T19:25:00Z</vt:lpwstr>
  </property>
  <property fmtid="{D5CDD505-2E9C-101B-9397-08002B2CF9AE}" pid="4" name="MSIP_Label_b07bbe84-2447-47ed-9f95-d9c34bc076ba_Method">
    <vt:lpwstr>Standard</vt:lpwstr>
  </property>
  <property fmtid="{D5CDD505-2E9C-101B-9397-08002B2CF9AE}" pid="5" name="MSIP_Label_b07bbe84-2447-47ed-9f95-d9c34bc076ba_Name">
    <vt:lpwstr>Confidential</vt:lpwstr>
  </property>
  <property fmtid="{D5CDD505-2E9C-101B-9397-08002B2CF9AE}" pid="6" name="MSIP_Label_b07bbe84-2447-47ed-9f95-d9c34bc076ba_SiteId">
    <vt:lpwstr>633f3069-d670-4419-9fee-2ab4251c88ee</vt:lpwstr>
  </property>
  <property fmtid="{D5CDD505-2E9C-101B-9397-08002B2CF9AE}" pid="7" name="MSIP_Label_b07bbe84-2447-47ed-9f95-d9c34bc076ba_ActionId">
    <vt:lpwstr>aaf21123-adfd-4ddb-8e3a-db6cc8e72640</vt:lpwstr>
  </property>
  <property fmtid="{D5CDD505-2E9C-101B-9397-08002B2CF9AE}" pid="8" name="MSIP_Label_b07bbe84-2447-47ed-9f95-d9c34bc076ba_ContentBits">
    <vt:lpwstr>0</vt:lpwstr>
  </property>
  <property fmtid="{D5CDD505-2E9C-101B-9397-08002B2CF9AE}" pid="9" name="MSIP_Label_b07bbe84-2447-47ed-9f95-d9c34bc076ba_Tag">
    <vt:lpwstr>10, 3, 0, 1</vt:lpwstr>
  </property>
</Properties>
</file>